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Cases" sheetId="1" state="visible" r:id="rId3"/>
    <sheet name="Summary" sheetId="2" state="visible" r:id="rId4"/>
    <sheet name="Failed Tests" sheetId="3" state="visible" r:id="rId5"/>
  </sheets>
  <definedNames>
    <definedName function="false" hidden="true" localSheetId="0" name="_xlnm._FilterDatabase" vbProcedure="false">'Test Cases'!$A$1:$G$135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<sst xmlns="http://schemas.openxmlformats.org/spreadsheetml/2006/main" count="1013" uniqueCount="600">
  <si>
    <t xml:space="preserve">Test ID</t>
  </si>
  <si>
    <t xml:space="preserve">Req. Ref</t>
  </si>
  <si>
    <t xml:space="preserve">Module</t>
  </si>
  <si>
    <t xml:space="preserve">Test Case</t>
  </si>
  <si>
    <t xml:space="preserve">Expected Result</t>
  </si>
  <si>
    <t xml:space="preserve">Actual Result</t>
  </si>
  <si>
    <t xml:space="preserve">Pass/Fail Status</t>
  </si>
  <si>
    <t xml:space="preserve">TC-001</t>
  </si>
  <si>
    <t xml:space="preserve">US-13</t>
  </si>
  <si>
    <t xml:space="preserve">Home / Dashboard</t>
  </si>
  <si>
    <t xml:space="preserve">Open index.html in the browser</t>
  </si>
  <si>
    <t xml:space="preserve">App loads with the 'Taskify' heading and no JavaScript errors</t>
  </si>
  <si>
    <t xml:space="preserve">Page title 'Taskify'; header shows 'Taskify'; JS errors: 0</t>
  </si>
  <si>
    <t xml:space="preserve">Pass</t>
  </si>
  <si>
    <t xml:space="preserve">TC-002</t>
  </si>
  <si>
    <t xml:space="preserve">FR-07</t>
  </si>
  <si>
    <t xml:space="preserve">Check the sample tasks shown when the app is opened for the first time</t>
  </si>
  <si>
    <t xml:space="preserve">Home shows the 6 sample tasks (up to 5 are listed) and the stat cards show Total 6, Pending 3, In Progress 2, Completed 1</t>
  </si>
  <si>
    <t xml:space="preserve">Stats: {'total': 6, 'pending': 3, 'progress': 2, 'completed': 1}; tasks listed on home: 5</t>
  </si>
  <si>
    <t xml:space="preserve">TC-003</t>
  </si>
  <si>
    <t xml:space="preserve">Check the progress ring percentage</t>
  </si>
  <si>
    <t xml:space="preserve">Ring shows 17% (1 of 6 tasks completed)</t>
  </si>
  <si>
    <t xml:space="preserve">Ring text: 17%</t>
  </si>
  <si>
    <t xml:space="preserve">TC-004</t>
  </si>
  <si>
    <t xml:space="preserve">Check the welcome message and user name</t>
  </si>
  <si>
    <t xml:space="preserve">Message reads 'Hello, Hemanth!' with the sub text 'Stay productive'</t>
  </si>
  <si>
    <t xml:space="preserve">'Hello, Hemanth!' / 'Stay productive 🚀'</t>
  </si>
  <si>
    <t xml:space="preserve">TC-005</t>
  </si>
  <si>
    <t xml:space="preserve">FR-19</t>
  </si>
  <si>
    <t xml:space="preserve">Check that the dashboard shows an Overdue count</t>
  </si>
  <si>
    <t xml:space="preserve">Dashboard shows counts of To Do, In Progress, Completed and Overdue tasks (US-13)</t>
  </si>
  <si>
    <t xml:space="preserve">Stat cards shown: Total, Pending, In Progress, Completed. No Overdue card.</t>
  </si>
  <si>
    <t xml:space="preserve">Fail</t>
  </si>
  <si>
    <t xml:space="preserve">TC-006</t>
  </si>
  <si>
    <t xml:space="preserve">Click 'View All' on the home screen</t>
  </si>
  <si>
    <t xml:space="preserve">Task Board screen opens</t>
  </si>
  <si>
    <t xml:space="preserve">Board screen visible: True; heading 'Task Board'</t>
  </si>
  <si>
    <t xml:space="preserve">TC-007</t>
  </si>
  <si>
    <t xml:space="preserve">Click the menu (hamburger) icon on the home screen</t>
  </si>
  <si>
    <t xml:space="preserve">Menu opens with Home, Tasks, Calendar, Profile and Add new task</t>
  </si>
  <si>
    <t xml:space="preserve">Menu items: ['Home', 'Tasks', 'Calendar', 'Profile', 'Add new task']</t>
  </si>
  <si>
    <t xml:space="preserve">TC-008</t>
  </si>
  <si>
    <t xml:space="preserve">US-04</t>
  </si>
  <si>
    <t xml:space="preserve">Delete all tasks and view the home screen</t>
  </si>
  <si>
    <t xml:space="preserve">Message 'No tasks yet' is shown with a hint to tap +; welcome text asks to add a task</t>
  </si>
  <si>
    <t xml:space="preserve">Empty state: 'No tasks yet Tap the + button to create your first task.'; message: 'Add a task to get started ✨'</t>
  </si>
  <si>
    <t xml:space="preserve">TC-009</t>
  </si>
  <si>
    <t xml:space="preserve">Complete all tasks and view the home screen</t>
  </si>
  <si>
    <t xml:space="preserve">Message 'All caught up' is shown and the ring shows 100%</t>
  </si>
  <si>
    <t xml:space="preserve">Message: 'All caught up — great work! 🎉'; ring: 100%; stats: {'total': 6, 'pending': 0, 'progress': 0, 'completed': 6}</t>
  </si>
  <si>
    <t xml:space="preserve">TC-010</t>
  </si>
  <si>
    <t xml:space="preserve">US-03</t>
  </si>
  <si>
    <t xml:space="preserve">Add Task</t>
  </si>
  <si>
    <t xml:space="preserve">Click the + button on the home screen</t>
  </si>
  <si>
    <t xml:space="preserve">Add New Task form opens with Title, Description, Due Date, Priority and Status fields</t>
  </si>
  <si>
    <t xml:space="preserve">Heading 'Add New Task'; all five fields visible: True</t>
  </si>
  <si>
    <t xml:space="preserve">TC-011</t>
  </si>
  <si>
    <t xml:space="preserve">FR-06</t>
  </si>
  <si>
    <t xml:space="preserve">Check default values in a new task form</t>
  </si>
  <si>
    <t xml:space="preserve">Priority = Medium and Status = To Do are pre-selected; title is empty</t>
  </si>
  <si>
    <t xml:space="preserve">Priority=medium, Status=todo, Title=''</t>
  </si>
  <si>
    <t xml:space="preserve">TC-012</t>
  </si>
  <si>
    <t xml:space="preserve">Enter only a title and click Save Task</t>
  </si>
  <si>
    <t xml:space="preserve">Task is saved, shown on Home with status To Do, and toast 'Task saved successfully' appears</t>
  </si>
  <si>
    <t xml:space="preserve">Top task: 'Buy notebooks'; stats {'total': 7, 'pending': 4, 'progress': 2, 'completed': 1}; toast 'Task saved successfully'</t>
  </si>
  <si>
    <t xml:space="preserve">TC-013</t>
  </si>
  <si>
    <t xml:space="preserve">Enter title, description, due date, priority High and status In Progress, then Save</t>
  </si>
  <si>
    <t xml:space="preserve">Task is saved with all values correct on the board</t>
  </si>
  <si>
    <t xml:space="preserve">Found in In Progress column: True; card text: Lab record | Complete experiments 1 to 5 | 16 Oct | High</t>
  </si>
  <si>
    <t xml:space="preserve">TC-014</t>
  </si>
  <si>
    <t xml:space="preserve">Leave the title empty and click Save Task</t>
  </si>
  <si>
    <t xml:space="preserve">Task is not saved and an error message about the title is shown</t>
  </si>
  <si>
    <t xml:space="preserve">Error: 'Please enter a task title.'; aria-invalid=true; still on form: True</t>
  </si>
  <si>
    <t xml:space="preserve">TC-015</t>
  </si>
  <si>
    <t xml:space="preserve">Enter only spaces in the title and click Save Task</t>
  </si>
  <si>
    <t xml:space="preserve">Task is not saved; title error is shown</t>
  </si>
  <si>
    <t xml:space="preserve">Error: 'Please enter a task title.'; saved tasks: 6</t>
  </si>
  <si>
    <t xml:space="preserve">TC-016</t>
  </si>
  <si>
    <t xml:space="preserve">Type in the title field after an error is shown</t>
  </si>
  <si>
    <t xml:space="preserve">Error message disappears as soon as the user types</t>
  </si>
  <si>
    <t xml:space="preserve">Error text after typing: ''</t>
  </si>
  <si>
    <t xml:space="preserve">TC-017</t>
  </si>
  <si>
    <t xml:space="preserve">Type 100 characters in the Title field</t>
  </si>
  <si>
    <t xml:space="preserve">Field accepts a maximum of 80 characters</t>
  </si>
  <si>
    <t xml:space="preserve">Characters accepted: 80</t>
  </si>
  <si>
    <t xml:space="preserve">TC-018</t>
  </si>
  <si>
    <t xml:space="preserve">Type 520 characters in the Description field</t>
  </si>
  <si>
    <t xml:space="preserve">Field accepts a maximum of 500 characters</t>
  </si>
  <si>
    <t xml:space="preserve">Characters accepted: 500</t>
  </si>
  <si>
    <t xml:space="preserve">TC-019</t>
  </si>
  <si>
    <t xml:space="preserve">Select a due date in the past and save the task</t>
  </si>
  <si>
    <t xml:space="preserve">A warning is displayed about the past due date (US-03 acceptance criteria)</t>
  </si>
  <si>
    <t xml:space="preserve">No warning shown. Task saved directly; toast: 'Task saved successfully'</t>
  </si>
  <si>
    <t xml:space="preserve">TC-020</t>
  </si>
  <si>
    <t xml:space="preserve">Click Cancel on the form after typing a title</t>
  </si>
  <si>
    <t xml:space="preserve">Form closes, no task is created, user returns to the previous screen</t>
  </si>
  <si>
    <t xml:space="preserve">Home visible; total tasks: 6</t>
  </si>
  <si>
    <t xml:space="preserve">TC-021</t>
  </si>
  <si>
    <t xml:space="preserve">Click the back arrow on the form</t>
  </si>
  <si>
    <t xml:space="preserve">Form closes without saving and returns to the previous screen</t>
  </si>
  <si>
    <t xml:space="preserve">TC-022</t>
  </si>
  <si>
    <t xml:space="preserve">Create two tasks with the same title</t>
  </si>
  <si>
    <t xml:space="preserve">Both tasks are saved as separate entries</t>
  </si>
  <si>
    <t xml:space="preserve">Entries named 'Same title' on Home: 2</t>
  </si>
  <si>
    <t xml:space="preserve">TC-023</t>
  </si>
  <si>
    <t xml:space="preserve">Enter &lt;b&gt;bold&lt;/b&gt;&lt;script&gt;alert(1)&lt;/script&gt; as the title and save</t>
  </si>
  <si>
    <t xml:space="preserve">Text is shown as plain text; no HTML or script is executed</t>
  </si>
  <si>
    <t xml:space="preserve">Title displayed as: '&lt;b&gt;bold&lt;/b&gt;&lt;script&gt;alert(1)&lt;/script&gt;'; &lt;b&gt; elements created: 0</t>
  </si>
  <si>
    <t xml:space="preserve">TC-024</t>
  </si>
  <si>
    <t xml:space="preserve">FR-12</t>
  </si>
  <si>
    <t xml:space="preserve">Create tasks with Low, Medium and High priority</t>
  </si>
  <si>
    <t xml:space="preserve">Each task shows its own priority badge (Low, Medium, High)</t>
  </si>
  <si>
    <t xml:space="preserve">Badges: {'P low': 'Low', 'P med': 'Medium', 'P high': 'High'}</t>
  </si>
  <si>
    <t xml:space="preserve">TC-025</t>
  </si>
  <si>
    <t xml:space="preserve">Compare the colours of High, Medium and Low priority tasks</t>
  </si>
  <si>
    <t xml:space="preserve">Each priority has a distinct colour (High red, Medium amber, Low green)</t>
  </si>
  <si>
    <t xml:space="preserve">Left border colours: {'Low': 'rgb(16, 185, 129)', 'Medium': 'rgb(245, 158, 11)', 'High': 'rgb(239, 68, 68)'}</t>
  </si>
  <si>
    <t xml:space="preserve">TC-026</t>
  </si>
  <si>
    <t xml:space="preserve">Create a task from the Task Board using the + button</t>
  </si>
  <si>
    <t xml:space="preserve">Task appears in the correct column on the board</t>
  </si>
  <si>
    <t xml:space="preserve">Returned to board: True; card in In Progress column: 1</t>
  </si>
  <si>
    <t xml:space="preserve">TC-027</t>
  </si>
  <si>
    <t xml:space="preserve">Open the Add Task form and check the bottom navigation</t>
  </si>
  <si>
    <t xml:space="preserve">Bottom navigation is hidden on the form screen</t>
  </si>
  <si>
    <t xml:space="preserve">Bottom nav visible: False</t>
  </si>
  <si>
    <t xml:space="preserve">TC-028</t>
  </si>
  <si>
    <t xml:space="preserve">NFR-06</t>
  </si>
  <si>
    <t xml:space="preserve">Fill the form using only the keyboard and press Enter</t>
  </si>
  <si>
    <t xml:space="preserve">Task is saved when Enter is pressed in the title field</t>
  </si>
  <si>
    <t xml:space="preserve">Top task on Home: 'Keyboard task'</t>
  </si>
  <si>
    <t xml:space="preserve">TC-029</t>
  </si>
  <si>
    <t xml:space="preserve">Task Board</t>
  </si>
  <si>
    <t xml:space="preserve">Open the Tasks screen from the bottom navigation</t>
  </si>
  <si>
    <t xml:space="preserve">Three columns - To Do (3), In Progress (2), Completed (1) - are shown</t>
  </si>
  <si>
    <t xml:space="preserve">Columns: ['To Do (3)', 'In Progress (2)', 'Completed (1)']</t>
  </si>
  <si>
    <t xml:space="preserve">TC-030</t>
  </si>
  <si>
    <t xml:space="preserve">Check the details on a board card</t>
  </si>
  <si>
    <t xml:space="preserve">Each card shows title, description, due date and priority</t>
  </si>
  <si>
    <t xml:space="preserve">Card text: Complete project report | Finish the final draft and proofread it. | 15 Oct | High</t>
  </si>
  <si>
    <t xml:space="preserve">TC-031</t>
  </si>
  <si>
    <t xml:space="preserve">Delete all tasks and open the Tasks screen</t>
  </si>
  <si>
    <t xml:space="preserve">Message 'No tasks yet' with an 'Add task' button is shown</t>
  </si>
  <si>
    <t xml:space="preserve">Empty state: 'No tasks yet Create a task and it will appear on the board. Add task'</t>
  </si>
  <si>
    <t xml:space="preserve">TC-032</t>
  </si>
  <si>
    <t xml:space="preserve">US-09</t>
  </si>
  <si>
    <t xml:space="preserve">Search</t>
  </si>
  <si>
    <t xml:space="preserve">Search for 'report' on the Task Board</t>
  </si>
  <si>
    <t xml:space="preserve">Only tasks with 'report' in the title are shown</t>
  </si>
  <si>
    <t xml:space="preserve">Cards shown: 1 ('Complete project report')</t>
  </si>
  <si>
    <t xml:space="preserve">TC-033</t>
  </si>
  <si>
    <t xml:space="preserve">Search using UPPERCASE letters ('REPORT')</t>
  </si>
  <si>
    <t xml:space="preserve">Search is not case sensitive; same result as lowercase</t>
  </si>
  <si>
    <t xml:space="preserve">Cards shown: 1</t>
  </si>
  <si>
    <t xml:space="preserve">TC-034</t>
  </si>
  <si>
    <t xml:space="preserve">Search for a word that is only in a task description ('API docs')</t>
  </si>
  <si>
    <t xml:space="preserve">Matching task is shown (US-09: search by title or description)</t>
  </si>
  <si>
    <t xml:space="preserve">Cards shown: 0. Search only checks the title (placeholder says 'Search tasks by title').</t>
  </si>
  <si>
    <t xml:space="preserve">TC-035</t>
  </si>
  <si>
    <t xml:space="preserve">Search for a word with no match ('zzzz')</t>
  </si>
  <si>
    <t xml:space="preserve">'No matching tasks' message is shown with a Clear filters button</t>
  </si>
  <si>
    <t xml:space="preserve">Message: 'No matching tasks Try a different search or clear the filters. Clear filters'</t>
  </si>
  <si>
    <t xml:space="preserve">TC-036</t>
  </si>
  <si>
    <t xml:space="preserve">Clear the search box after searching</t>
  </si>
  <si>
    <t xml:space="preserve">All tasks are shown again</t>
  </si>
  <si>
    <t xml:space="preserve">Cards shown: 6</t>
  </si>
  <si>
    <t xml:space="preserve">TC-037</t>
  </si>
  <si>
    <t xml:space="preserve">Search with leading and trailing spaces ('  report  ')</t>
  </si>
  <si>
    <t xml:space="preserve">Spaces are ignored and the matching task is shown</t>
  </si>
  <si>
    <t xml:space="preserve">TC-038</t>
  </si>
  <si>
    <t xml:space="preserve">US-10</t>
  </si>
  <si>
    <t xml:space="preserve">Filter and Sort</t>
  </si>
  <si>
    <t xml:space="preserve">Filter by status 'In Progress'</t>
  </si>
  <si>
    <t xml:space="preserve">Only In Progress tasks are shown</t>
  </si>
  <si>
    <t xml:space="preserve">Cards: 2; columns: ['To Do (0)', 'In Progress (2)', 'Completed (0)']</t>
  </si>
  <si>
    <t xml:space="preserve">TC-039</t>
  </si>
  <si>
    <t xml:space="preserve">Filter by priority 'High'</t>
  </si>
  <si>
    <t xml:space="preserve">Only High priority tasks are shown</t>
  </si>
  <si>
    <t xml:space="preserve">Cards: 2; badges: {'High'}</t>
  </si>
  <si>
    <t xml:space="preserve">TC-040</t>
  </si>
  <si>
    <t xml:space="preserve">Apply status 'To Do' and priority 'High' together</t>
  </si>
  <si>
    <t xml:space="preserve">Only tasks matching both filters are shown</t>
  </si>
  <si>
    <t xml:space="preserve">Cards: 2</t>
  </si>
  <si>
    <t xml:space="preserve">TC-041</t>
  </si>
  <si>
    <t xml:space="preserve">Apply a filter with no results, then click 'Clear filters'</t>
  </si>
  <si>
    <t xml:space="preserve">All tasks are shown again and filters reset to 'All'</t>
  </si>
  <si>
    <t xml:space="preserve">Cards: 6; status filter: all</t>
  </si>
  <si>
    <t xml:space="preserve">TC-042</t>
  </si>
  <si>
    <t xml:space="preserve">Open the board menu (...) and click 'Clear filters'</t>
  </si>
  <si>
    <t xml:space="preserve">Search text and filters are reset</t>
  </si>
  <si>
    <t xml:space="preserve">Search box: ''; cards: 6</t>
  </si>
  <si>
    <t xml:space="preserve">TC-043</t>
  </si>
  <si>
    <t xml:space="preserve">FR-16</t>
  </si>
  <si>
    <t xml:space="preserve">Look for a sort option (by due date or priority) on the Task Board</t>
  </si>
  <si>
    <t xml:space="preserve">A sort control is available (US-10)</t>
  </si>
  <si>
    <t xml:space="preserve">No sort option exists on the board; only search and two filters are available.</t>
  </si>
  <si>
    <t xml:space="preserve">TC-044</t>
  </si>
  <si>
    <t xml:space="preserve">FR-15</t>
  </si>
  <si>
    <t xml:space="preserve">Look for a filter by category or due date</t>
  </si>
  <si>
    <t xml:space="preserve">Filters for category and due date are available (FR-15)</t>
  </si>
  <si>
    <t xml:space="preserve">Available filters: ['Filter by status', 'Filter by priority']. No category or due date filter.</t>
  </si>
  <si>
    <t xml:space="preserve">TC-045</t>
  </si>
  <si>
    <t xml:space="preserve">FR-09</t>
  </si>
  <si>
    <t xml:space="preserve">Open the board menu and click 'Delete completed tasks', then confirm</t>
  </si>
  <si>
    <t xml:space="preserve">Confirmation shown, all completed tasks deleted, toast 'Completed tasks deleted'</t>
  </si>
  <si>
    <t xml:space="preserve">Modal: '1 completed task will be permanently deleted.'; completed cards left: 0; toast 'Completed tasks deleted'</t>
  </si>
  <si>
    <t xml:space="preserve">TC-046</t>
  </si>
  <si>
    <t xml:space="preserve">Click 'Delete completed tasks' when there are none</t>
  </si>
  <si>
    <t xml:space="preserve">Toast 'No completed tasks to delete' is shown</t>
  </si>
  <si>
    <t xml:space="preserve">Toast: 'No completed tasks to delete'</t>
  </si>
  <si>
    <t xml:space="preserve">TC-047</t>
  </si>
  <si>
    <t xml:space="preserve">US-05</t>
  </si>
  <si>
    <t xml:space="preserve">Edit Task</t>
  </si>
  <si>
    <t xml:space="preserve">Open a task menu and click Edit</t>
  </si>
  <si>
    <t xml:space="preserve">Edit Task form opens pre-filled with the task details and the button reads 'Update Task'</t>
  </si>
  <si>
    <t xml:space="preserve">Heading 'Edit Task', button 'Update Task', title 'Complete project report', priority 'high'</t>
  </si>
  <si>
    <t xml:space="preserve">TC-048</t>
  </si>
  <si>
    <t xml:space="preserve">Change the title and click Update Task</t>
  </si>
  <si>
    <t xml:space="preserve">Updated title is shown in the list and toast 'Task updated successfully' appears</t>
  </si>
  <si>
    <t xml:space="preserve">Titles: ['Report final', 'Prepare presentation']; toast 'Task updated successfully'</t>
  </si>
  <si>
    <t xml:space="preserve">TC-049</t>
  </si>
  <si>
    <t xml:space="preserve">Edit description, due date, priority and status then update</t>
  </si>
  <si>
    <t xml:space="preserve">All changes are reflected on the board</t>
  </si>
  <si>
    <t xml:space="preserve">Card in In Progress: Complete project report | New notes | 24 Oct | Low</t>
  </si>
  <si>
    <t xml:space="preserve">TC-050</t>
  </si>
  <si>
    <t xml:space="preserve">Clear the title while editing and click Update Task</t>
  </si>
  <si>
    <t xml:space="preserve">Update is blocked and a title error is shown</t>
  </si>
  <si>
    <t xml:space="preserve">Error: 'Please enter a task title.'</t>
  </si>
  <si>
    <t xml:space="preserve">TC-051</t>
  </si>
  <si>
    <t xml:space="preserve">Open Edit, change the title and click Cancel</t>
  </si>
  <si>
    <t xml:space="preserve">Original task details remain unchanged</t>
  </si>
  <si>
    <t xml:space="preserve">Titles: ['Complete project report', 'Prepare presentation', 'Submit assignment']</t>
  </si>
  <si>
    <t xml:space="preserve">TC-052</t>
  </si>
  <si>
    <t xml:space="preserve">Edit a task from the Task Board and save</t>
  </si>
  <si>
    <t xml:space="preserve">User returns to the Task Board after saving</t>
  </si>
  <si>
    <t xml:space="preserve">Board visible after save: True</t>
  </si>
  <si>
    <t xml:space="preserve">TC-053</t>
  </si>
  <si>
    <t xml:space="preserve">US-06</t>
  </si>
  <si>
    <t xml:space="preserve">Delete Task</t>
  </si>
  <si>
    <t xml:space="preserve">Open a task menu and click Delete</t>
  </si>
  <si>
    <t xml:space="preserve">Confirmation dialog 'Delete task?' is shown with the task name</t>
  </si>
  <si>
    <t xml:space="preserve">Dialog: 'Delete task?' - '"Prepare presentation" will be permanently deleted.'</t>
  </si>
  <si>
    <t xml:space="preserve">TC-054</t>
  </si>
  <si>
    <t xml:space="preserve">Click Delete in the dialog to confirm</t>
  </si>
  <si>
    <t xml:space="preserve">Task is permanently removed and toast 'Task deleted' appears</t>
  </si>
  <si>
    <t xml:space="preserve">Total tasks: 5; toast 'Task deleted'</t>
  </si>
  <si>
    <t xml:space="preserve">TC-055</t>
  </si>
  <si>
    <t xml:space="preserve">Click Cancel in the delete dialog</t>
  </si>
  <si>
    <t xml:space="preserve">Dialog closes and the task remains</t>
  </si>
  <si>
    <t xml:space="preserve">Dialog visible: False; total: 6</t>
  </si>
  <si>
    <t xml:space="preserve">TC-056</t>
  </si>
  <si>
    <t xml:space="preserve">Click outside the dialog (dark area)</t>
  </si>
  <si>
    <t xml:space="preserve">Dialog closes without deleting</t>
  </si>
  <si>
    <t xml:space="preserve">TC-057</t>
  </si>
  <si>
    <t xml:space="preserve">Press the Escape key while the delete dialog is open</t>
  </si>
  <si>
    <t xml:space="preserve">Dialog visible: False</t>
  </si>
  <si>
    <t xml:space="preserve">TC-058</t>
  </si>
  <si>
    <t xml:space="preserve">Delete a task from the Task Board</t>
  </si>
  <si>
    <t xml:space="preserve">Card is removed from the board and column count updates</t>
  </si>
  <si>
    <t xml:space="preserve">Columns: ['To Do (3)', 'In Progress (1)', 'Completed (1)']</t>
  </si>
  <si>
    <t xml:space="preserve">TC-059</t>
  </si>
  <si>
    <t xml:space="preserve">Delete the last remaining task</t>
  </si>
  <si>
    <t xml:space="preserve">Task is removed and the 'No tasks yet' message appears</t>
  </si>
  <si>
    <t xml:space="preserve">Stats: {'total': 0, 'pending': 0, 'progress': 0, 'completed': 0}</t>
  </si>
  <si>
    <t xml:space="preserve">TC-060</t>
  </si>
  <si>
    <t xml:space="preserve">US-07</t>
  </si>
  <si>
    <t xml:space="preserve">Task Status</t>
  </si>
  <si>
    <t xml:space="preserve">Tick the checkbox of a To Do task</t>
  </si>
  <si>
    <t xml:space="preserve">Task is marked completed (strikethrough), stats update and toast 'Task marked as completed' appears</t>
  </si>
  <si>
    <t xml:space="preserve">Row class: task-item p-high done; stats {'total': 6, 'pending': 2, 'progress': 2, 'completed': 2}; toast 'Task marked as completed 🎉'</t>
  </si>
  <si>
    <t xml:space="preserve">TC-061</t>
  </si>
  <si>
    <t xml:space="preserve">Untick the checkbox of a completed task (reopen)</t>
  </si>
  <si>
    <t xml:space="preserve">Status returns to To Do and toast 'Task moved back to To Do' appears</t>
  </si>
  <si>
    <t xml:space="preserve">Stats {'total': 6, 'pending': 4, 'progress': 2, 'completed': 0}; toast 'Task moved back to To Do'</t>
  </si>
  <si>
    <t xml:space="preserve">TC-062</t>
  </si>
  <si>
    <t xml:space="preserve">Open task menu: check the 'Move to' options for a To Do task</t>
  </si>
  <si>
    <t xml:space="preserve">Only In Progress and Completed are offered (current status is not listed)</t>
  </si>
  <si>
    <t xml:space="preserve">Menu: ['Edit', 'In Progress', 'Completed', 'Delete']</t>
  </si>
  <si>
    <t xml:space="preserve">TC-063</t>
  </si>
  <si>
    <t xml:space="preserve">FR-10</t>
  </si>
  <si>
    <t xml:space="preserve">Move a task to 'In Progress' using the menu</t>
  </si>
  <si>
    <t xml:space="preserve">Status changes immediately and toast 'Moved to In Progress' appears</t>
  </si>
  <si>
    <t xml:space="preserve">Stats {'total': 6, 'pending': 2, 'progress': 3, 'completed': 1}; toast 'Moved to In Progress'</t>
  </si>
  <si>
    <t xml:space="preserve">TC-064</t>
  </si>
  <si>
    <t xml:space="preserve">Move a task to 'Completed' using the menu</t>
  </si>
  <si>
    <t xml:space="preserve">Status becomes Completed and stats update</t>
  </si>
  <si>
    <t xml:space="preserve">Stats {'total': 6, 'pending': 2, 'progress': 2, 'completed': 2}; toast 'Moved to Completed'</t>
  </si>
  <si>
    <t xml:space="preserve">TC-065</t>
  </si>
  <si>
    <t xml:space="preserve">Create a task with status 'Completed' from the form</t>
  </si>
  <si>
    <t xml:space="preserve">Task is saved as Completed and shows strikethrough</t>
  </si>
  <si>
    <t xml:space="preserve">Row class: task-item p-medium done; stats {'total': 7, 'pending': 3, 'progress': 2, 'completed': 2}</t>
  </si>
  <si>
    <t xml:space="preserve">TC-066</t>
  </si>
  <si>
    <t xml:space="preserve">Tick the checkbox on an 'In Progress' task, then untick it</t>
  </si>
  <si>
    <t xml:space="preserve">Task should return to its earlier status or To Do (US-07 says Reopen returns to To Do)</t>
  </si>
  <si>
    <t xml:space="preserve">After untick: {'total': 6, 'pending': 4, 'progress': 1, 'completed': 1}. Task goes to To Do as per US-07.</t>
  </si>
  <si>
    <t xml:space="preserve">TC-067</t>
  </si>
  <si>
    <t xml:space="preserve">Create a task with a past due date (not completed)</t>
  </si>
  <si>
    <t xml:space="preserve">Task is flagged as 'Overdue' in the list</t>
  </si>
  <si>
    <t xml:space="preserve">Meta text: '10 Oct · Overdue Medium'</t>
  </si>
  <si>
    <t xml:space="preserve">TC-068</t>
  </si>
  <si>
    <t xml:space="preserve">Create a completed task with a past due date</t>
  </si>
  <si>
    <t xml:space="preserve">Task is NOT flagged as overdue</t>
  </si>
  <si>
    <t xml:space="preserve">Meta text: '10 Oct Medium'</t>
  </si>
  <si>
    <t xml:space="preserve">TC-069</t>
  </si>
  <si>
    <t xml:space="preserve">Create a task due today</t>
  </si>
  <si>
    <t xml:space="preserve">Shows 'Today' with the date and is not marked overdue</t>
  </si>
  <si>
    <t xml:space="preserve">Meta text: 'Today, 12 Oct Medium'</t>
  </si>
  <si>
    <t xml:space="preserve">TC-070</t>
  </si>
  <si>
    <t xml:space="preserve">Create a task without a due date</t>
  </si>
  <si>
    <t xml:space="preserve">'No date' is shown for the task</t>
  </si>
  <si>
    <t xml:space="preserve">Meta text: 'No date Medium'</t>
  </si>
  <si>
    <t xml:space="preserve">TC-071</t>
  </si>
  <si>
    <t xml:space="preserve">Task Menu</t>
  </si>
  <si>
    <t xml:space="preserve">Open a task menu, then click outside it</t>
  </si>
  <si>
    <t xml:space="preserve">Menu closes</t>
  </si>
  <si>
    <t xml:space="preserve">Menus open: 0</t>
  </si>
  <si>
    <t xml:space="preserve">TC-072</t>
  </si>
  <si>
    <t xml:space="preserve">Open a task menu and press Escape</t>
  </si>
  <si>
    <t xml:space="preserve">TC-073</t>
  </si>
  <si>
    <t xml:space="preserve">Open a task menu and use the Arrow Down key</t>
  </si>
  <si>
    <t xml:space="preserve">Focus moves to the next menu item</t>
  </si>
  <si>
    <t xml:space="preserve">Focused item: 'In Progress'</t>
  </si>
  <si>
    <t xml:space="preserve">TC-074</t>
  </si>
  <si>
    <t xml:space="preserve">Click the same task menu button twice</t>
  </si>
  <si>
    <t xml:space="preserve">Menu opens on first click and closes on second click</t>
  </si>
  <si>
    <t xml:space="preserve">After 1st click: 1; after 2nd: 0</t>
  </si>
  <si>
    <t xml:space="preserve">TC-075</t>
  </si>
  <si>
    <t xml:space="preserve">Calendar</t>
  </si>
  <si>
    <t xml:space="preserve">Open the Calendar screen</t>
  </si>
  <si>
    <t xml:space="preserve">Current month and year are shown in the header</t>
  </si>
  <si>
    <t xml:space="preserve">Header: 'October 2026'</t>
  </si>
  <si>
    <t xml:space="preserve">TC-076</t>
  </si>
  <si>
    <t xml:space="preserve">Check the default selected date on the Calendar</t>
  </si>
  <si>
    <t xml:space="preserve">Today is highlighted and the list heading starts with 'Today'</t>
  </si>
  <si>
    <t xml:space="preserve">Heading: 'Today · 12 October 2026'; selected cells: 1; today cells: 1</t>
  </si>
  <si>
    <t xml:space="preserve">TC-077</t>
  </si>
  <si>
    <t xml:space="preserve">Click the next month arrow</t>
  </si>
  <si>
    <t xml:space="preserve">Next month is displayed</t>
  </si>
  <si>
    <t xml:space="preserve">Header: 'November 2026'</t>
  </si>
  <si>
    <t xml:space="preserve">TC-078</t>
  </si>
  <si>
    <t xml:space="preserve">Click the previous month arrow</t>
  </si>
  <si>
    <t xml:space="preserve">Previous month is displayed</t>
  </si>
  <si>
    <t xml:space="preserve">Header: 'September 2026'</t>
  </si>
  <si>
    <t xml:space="preserve">TC-079</t>
  </si>
  <si>
    <t xml:space="preserve">Go to another month and click 'Today'</t>
  </si>
  <si>
    <t xml:space="preserve">Calendar returns to the current month with today selected</t>
  </si>
  <si>
    <t xml:space="preserve">TC-080</t>
  </si>
  <si>
    <t xml:space="preserve">Add a task due today and open the Calendar</t>
  </si>
  <si>
    <t xml:space="preserve">Today shows a dot and the task is listed under today</t>
  </si>
  <si>
    <t xml:space="preserve">Dots on today: 1; tasks listed: ['Cal today']</t>
  </si>
  <si>
    <t xml:space="preserve">TC-081</t>
  </si>
  <si>
    <t xml:space="preserve">Click a day with no tasks</t>
  </si>
  <si>
    <t xml:space="preserve">'Nothing scheduled' is shown with an 'Add a task for this day' button</t>
  </si>
  <si>
    <t xml:space="preserve">Empty state: 'Nothing scheduled No tasks are due on this day. Add a task for this day'</t>
  </si>
  <si>
    <t xml:space="preserve">TC-082</t>
  </si>
  <si>
    <t xml:space="preserve">Click a day that has a task</t>
  </si>
  <si>
    <t xml:space="preserve">The task is listed for the selected date and heading shows 'Tasks on &lt;date&gt;'</t>
  </si>
  <si>
    <t xml:space="preserve">Heading: 'Tasks on 15 October 2026'; tasks: ['Complete project report']</t>
  </si>
  <si>
    <t xml:space="preserve">TC-083</t>
  </si>
  <si>
    <t xml:space="preserve">Click 'Add a task for this day' on an empty day</t>
  </si>
  <si>
    <t xml:space="preserve">Add form opens with the due date set to the selected day</t>
  </si>
  <si>
    <t xml:space="preserve">Due date in form: 2026-10-01 (expected 2026-10-01)</t>
  </si>
  <si>
    <t xml:space="preserve">TC-084</t>
  </si>
  <si>
    <t xml:space="preserve">Save a task added from the Calendar</t>
  </si>
  <si>
    <t xml:space="preserve">User returns to the Calendar and the new task is listed</t>
  </si>
  <si>
    <t xml:space="preserve">Back on calendar: True; tasks listed: ['From calendar']</t>
  </si>
  <si>
    <t xml:space="preserve">TC-085</t>
  </si>
  <si>
    <t xml:space="preserve">Check if the + (floating) button is available on the Calendar and Profile screens</t>
  </si>
  <si>
    <t xml:space="preserve">The + button is hidden on Calendar and Profile; visible on Home and Board</t>
  </si>
  <si>
    <t xml:space="preserve">+ button visible: {'home': True, 'board': True, 'calendar': False, 'profile': False}</t>
  </si>
  <si>
    <t xml:space="preserve">TC-086</t>
  </si>
  <si>
    <t xml:space="preserve">US-12</t>
  </si>
  <si>
    <t xml:space="preserve">Check calendar for days with more than 3 tasks</t>
  </si>
  <si>
    <t xml:space="preserve">Dots show at most 3 per day</t>
  </si>
  <si>
    <t xml:space="preserve">Dots on today with 5 tasks: 3</t>
  </si>
  <si>
    <t xml:space="preserve">TC-087</t>
  </si>
  <si>
    <t xml:space="preserve">FR-05</t>
  </si>
  <si>
    <t xml:space="preserve">Profile</t>
  </si>
  <si>
    <t xml:space="preserve">Open the Profile screen</t>
  </si>
  <si>
    <t xml:space="preserve">Name, email, member-since date and 'Tasks completed' (1 of 6) are shown</t>
  </si>
  <si>
    <t xml:space="preserve">Name 'Hemanth', email 'hemanth@example.com', joined '12 October 2026', completed '1 of 6'</t>
  </si>
  <si>
    <t xml:space="preserve">TC-088</t>
  </si>
  <si>
    <t xml:space="preserve">Change the display name to 'Dhinesh' and click Update Name</t>
  </si>
  <si>
    <t xml:space="preserve">Name updates on Profile and on the Home welcome message; toast 'Name updated'</t>
  </si>
  <si>
    <t xml:space="preserve">Welcome text: 'Hello, Dhinesh!'</t>
  </si>
  <si>
    <t xml:space="preserve">TC-089</t>
  </si>
  <si>
    <t xml:space="preserve">Clear the display name and click Update Name</t>
  </si>
  <si>
    <t xml:space="preserve">Error 'Please enter a name.' is shown; name unchanged</t>
  </si>
  <si>
    <t xml:space="preserve">Error: 'Please enter a name.'</t>
  </si>
  <si>
    <t xml:space="preserve">TC-090</t>
  </si>
  <si>
    <t xml:space="preserve">Type 40 characters in the display name field</t>
  </si>
  <si>
    <t xml:space="preserve">Field accepts a maximum of 30 characters</t>
  </si>
  <si>
    <t xml:space="preserve">Characters accepted: 30</t>
  </si>
  <si>
    <t xml:space="preserve">TC-091</t>
  </si>
  <si>
    <t xml:space="preserve">Enter spaces only in the display name and update</t>
  </si>
  <si>
    <t xml:space="preserve">Error is shown; name unchanged</t>
  </si>
  <si>
    <t xml:space="preserve">TC-092</t>
  </si>
  <si>
    <t xml:space="preserve">Click 'Delete all tasks' and confirm</t>
  </si>
  <si>
    <t xml:space="preserve">All tasks are deleted and stats show 0</t>
  </si>
  <si>
    <t xml:space="preserve">Stats: {'total': 0, 'pending': 0, 'progress': 0, 'completed': 0}; profile: '0 of 0'</t>
  </si>
  <si>
    <t xml:space="preserve">TC-093</t>
  </si>
  <si>
    <t xml:space="preserve">Click 'Delete all tasks' and cancel</t>
  </si>
  <si>
    <t xml:space="preserve">Tasks remain unchanged</t>
  </si>
  <si>
    <t xml:space="preserve">Total tasks: 6</t>
  </si>
  <si>
    <t xml:space="preserve">TC-094</t>
  </si>
  <si>
    <t xml:space="preserve">Delete all tasks, then click 'Reset sample tasks' and confirm</t>
  </si>
  <si>
    <t xml:space="preserve">The 6 sample tasks are restored</t>
  </si>
  <si>
    <t xml:space="preserve">Stats: {'total': 6, 'pending': 3, 'progress': 2, 'completed': 1}; toast 'Sample tasks restored'</t>
  </si>
  <si>
    <t xml:space="preserve">TC-095</t>
  </si>
  <si>
    <t xml:space="preserve">Check the warning text about data storage on Profile</t>
  </si>
  <si>
    <t xml:space="preserve">Message says everything is stored in this browser only</t>
  </si>
  <si>
    <t xml:space="preserve">Text: 'Everything is stored in this browser only.'</t>
  </si>
  <si>
    <t xml:space="preserve">TC-096</t>
  </si>
  <si>
    <t xml:space="preserve">Navigation</t>
  </si>
  <si>
    <t xml:space="preserve">Tap each item in the bottom navigation (Home, Tasks, Calendar, Profile)</t>
  </si>
  <si>
    <t xml:space="preserve">Each tap opens the correct screen</t>
  </si>
  <si>
    <t xml:space="preserve">Screens opened: {'board': True, 'calendar': True, 'profile': True, 'home': True}</t>
  </si>
  <si>
    <t xml:space="preserve">TC-097</t>
  </si>
  <si>
    <t xml:space="preserve">Check the active item in the bottom navigation</t>
  </si>
  <si>
    <t xml:space="preserve">Current screen's item is highlighted (aria-current=page)</t>
  </si>
  <si>
    <t xml:space="preserve">Highlighted item: 'Calendar'</t>
  </si>
  <si>
    <t xml:space="preserve">TC-098</t>
  </si>
  <si>
    <t xml:space="preserve">Click the back arrow on Task Board, Calendar and Profile screens</t>
  </si>
  <si>
    <t xml:space="preserve">User returns to Home each time</t>
  </si>
  <si>
    <t xml:space="preserve">Returned to home: [True, True, True]</t>
  </si>
  <si>
    <t xml:space="preserve">TC-099</t>
  </si>
  <si>
    <t xml:space="preserve">Use the hamburger menu to open Calendar</t>
  </si>
  <si>
    <t xml:space="preserve">Calendar screen opens</t>
  </si>
  <si>
    <t xml:space="preserve">Calendar visible: True</t>
  </si>
  <si>
    <t xml:space="preserve">TC-100</t>
  </si>
  <si>
    <t xml:space="preserve">Use the hamburger menu to click 'Add new task'</t>
  </si>
  <si>
    <t xml:space="preserve">Add New Task form opens</t>
  </si>
  <si>
    <t xml:space="preserve">Form heading: 'Add New Task'</t>
  </si>
  <si>
    <t xml:space="preserve">TC-101</t>
  </si>
  <si>
    <t xml:space="preserve">Open a screen after scrolling down the Home page</t>
  </si>
  <si>
    <t xml:space="preserve">New screen opens scrolled to the top</t>
  </si>
  <si>
    <t xml:space="preserve">scrollY after navigating: 0</t>
  </si>
  <si>
    <t xml:space="preserve">TC-102</t>
  </si>
  <si>
    <t xml:space="preserve">NFR-12</t>
  </si>
  <si>
    <t xml:space="preserve">Data Storage</t>
  </si>
  <si>
    <t xml:space="preserve">Add a task and refresh the page</t>
  </si>
  <si>
    <t xml:space="preserve">Task is still present after refresh</t>
  </si>
  <si>
    <t xml:space="preserve">Top task after reload: 'Persist me'</t>
  </si>
  <si>
    <t xml:space="preserve">TC-103</t>
  </si>
  <si>
    <t xml:space="preserve">Change the display name and refresh the page</t>
  </si>
  <si>
    <t xml:space="preserve">Name is kept after refresh</t>
  </si>
  <si>
    <t xml:space="preserve">Welcome text after reload: 'Hello, Dhinesh!'</t>
  </si>
  <si>
    <t xml:space="preserve">TC-104</t>
  </si>
  <si>
    <t xml:space="preserve">Delete all tasks and refresh the page</t>
  </si>
  <si>
    <t xml:space="preserve">Task list stays empty (sample tasks are not re-added)</t>
  </si>
  <si>
    <t xml:space="preserve">Total after reload: 0</t>
  </si>
  <si>
    <t xml:space="preserve">TC-105</t>
  </si>
  <si>
    <t xml:space="preserve">Corrupt the saved data in browser storage and reload</t>
  </si>
  <si>
    <t xml:space="preserve">App does not crash; it recovers and loads</t>
  </si>
  <si>
    <t xml:space="preserve">Home visible; tasks: 6; JS errors: 0</t>
  </si>
  <si>
    <t xml:space="preserve">TC-106</t>
  </si>
  <si>
    <t xml:space="preserve">NFR-05</t>
  </si>
  <si>
    <t xml:space="preserve">Open the app in a new private session</t>
  </si>
  <si>
    <t xml:space="preserve">Tasks created before are not visible (data stored per browser)</t>
  </si>
  <si>
    <t xml:space="preserve">New session shows: ['Complete project report', 'Prepare presentation']</t>
  </si>
  <si>
    <t xml:space="preserve">TC-107</t>
  </si>
  <si>
    <t xml:space="preserve">NFR-07</t>
  </si>
  <si>
    <t xml:space="preserve">UI and Usability</t>
  </si>
  <si>
    <t xml:space="preserve">Open every screen at mobile width (375 x 667)</t>
  </si>
  <si>
    <t xml:space="preserve">No horizontal page scrolling on any screen</t>
  </si>
  <si>
    <t xml:space="preserve">Horizontal overflow (px) per screen: {'home': 0, 'board': 0, 'calendar': 0, 'profile': 0}</t>
  </si>
  <si>
    <t xml:space="preserve">TC-108</t>
  </si>
  <si>
    <t xml:space="preserve">Open the Task Board at tablet width (820 x 1180)</t>
  </si>
  <si>
    <t xml:space="preserve">Three columns are shown side by side</t>
  </si>
  <si>
    <t xml:space="preserve">Column left positions: [168, 333, 499]</t>
  </si>
  <si>
    <t xml:space="preserve">TC-109</t>
  </si>
  <si>
    <t xml:space="preserve">Open the app at desktop width (1366 x 768)</t>
  </si>
  <si>
    <t xml:space="preserve">Layout expands, no overlapping or horizontal scroll</t>
  </si>
  <si>
    <t xml:space="preserve">App width 1040px; overflow: {'home': 0, 'board': 0, 'calendar': 0, 'profile': 0}</t>
  </si>
  <si>
    <t xml:space="preserve">TC-110</t>
  </si>
  <si>
    <t xml:space="preserve">Open the Task Board at mobile width and check the columns</t>
  </si>
  <si>
    <t xml:space="preserve">Columns scroll horizontally inside the board (snap scrolling)</t>
  </si>
  <si>
    <t xml:space="preserve">Board scrollable horizontally: True</t>
  </si>
  <si>
    <t xml:space="preserve">TC-111</t>
  </si>
  <si>
    <t xml:space="preserve">Check the size of the main tap targets on mobile</t>
  </si>
  <si>
    <t xml:space="preserve">All tap targets (buttons, icons) are at least 40 x 40 px</t>
  </si>
  <si>
    <t xml:space="preserve">Home, Calendar and Profile: smallest is 40 px. Task Board card menu (...) buttons are 34 x 34 px, below 40 px.</t>
  </si>
  <si>
    <t xml:space="preserve">TC-112</t>
  </si>
  <si>
    <t xml:space="preserve">NFR-01</t>
  </si>
  <si>
    <t xml:space="preserve">Measure page load time</t>
  </si>
  <si>
    <t xml:space="preserve">Page loads within 3 seconds</t>
  </si>
  <si>
    <t xml:space="preserve">Page loaded in about 0.07 s on a local file.</t>
  </si>
  <si>
    <t xml:space="preserve">TC-113</t>
  </si>
  <si>
    <t xml:space="preserve">Add a task and measure the response time</t>
  </si>
  <si>
    <t xml:space="preserve">Task appears within 2 seconds</t>
  </si>
  <si>
    <t xml:space="preserve">Task appeared in about 0.4 s (measured by automation).</t>
  </si>
  <si>
    <t xml:space="preserve">TC-114</t>
  </si>
  <si>
    <t xml:space="preserve">NFR-11</t>
  </si>
  <si>
    <t xml:space="preserve">Check that icon-only buttons have accessible labels</t>
  </si>
  <si>
    <t xml:space="preserve">Every icon button has an aria-label</t>
  </si>
  <si>
    <t xml:space="preserve">Icon buttons without aria-label: 0</t>
  </si>
  <si>
    <t xml:space="preserve">TC-115</t>
  </si>
  <si>
    <t xml:space="preserve">Check that form fields have labels</t>
  </si>
  <si>
    <t xml:space="preserve">All inputs on the form have a visible label or aria-label</t>
  </si>
  <si>
    <t xml:space="preserve">Fields without a label: 0</t>
  </si>
  <si>
    <t xml:space="preserve">TC-116</t>
  </si>
  <si>
    <t xml:space="preserve">Press Tab repeatedly on the Add Task form</t>
  </si>
  <si>
    <t xml:space="preserve">Focus moves through title, description, date, priority, status, Save and Cancel with a visible focus ring</t>
  </si>
  <si>
    <t xml:space="preserve">Focus order: ['f-desc', 'f-due', 'f-due', 'f-due', 'f-due', 'priority', 'f-status', 'f-save', 'Cancel']</t>
  </si>
  <si>
    <t xml:space="preserve">TC-117</t>
  </si>
  <si>
    <t xml:space="preserve">Check the page language and viewport settings</t>
  </si>
  <si>
    <t xml:space="preserve">&lt;html lang='en'&gt; and viewport meta tag are present</t>
  </si>
  <si>
    <t xml:space="preserve">lang='en', viewport meta: True</t>
  </si>
  <si>
    <t xml:space="preserve">TC-118</t>
  </si>
  <si>
    <t xml:space="preserve">UI</t>
  </si>
  <si>
    <t xml:space="preserve">Complete a task and watch for feedback</t>
  </si>
  <si>
    <t xml:space="preserve">Toast message is shown and then disappears after about 2-3 seconds</t>
  </si>
  <si>
    <t xml:space="preserve">Toast visible at start: True; after 3s: False</t>
  </si>
  <si>
    <t xml:space="preserve">TC-119</t>
  </si>
  <si>
    <t xml:space="preserve">Complete a task and check the confetti animation</t>
  </si>
  <si>
    <t xml:space="preserve">Confetti pieces appear after completing a task</t>
  </si>
  <si>
    <t xml:space="preserve">Confetti elements right after completion: 36</t>
  </si>
  <si>
    <t xml:space="preserve">TC-120</t>
  </si>
  <si>
    <t xml:space="preserve">Open the app with 'reduce motion' enabled</t>
  </si>
  <si>
    <t xml:space="preserve">Confetti is not shown</t>
  </si>
  <si>
    <t xml:space="preserve">Confetti elements: 0</t>
  </si>
  <si>
    <t xml:space="preserve">TC-121</t>
  </si>
  <si>
    <t xml:space="preserve">Check long title wrapping: save a 80-character title without spaces</t>
  </si>
  <si>
    <t xml:space="preserve">Title wraps inside the card; no horizontal overflow</t>
  </si>
  <si>
    <t xml:space="preserve">Horizontal overflow: 0px</t>
  </si>
  <si>
    <t xml:space="preserve">TC-122</t>
  </si>
  <si>
    <t xml:space="preserve">US-02</t>
  </si>
  <si>
    <t xml:space="preserve">User Login</t>
  </si>
  <si>
    <t xml:space="preserve">Open the app and look for a login page</t>
  </si>
  <si>
    <t xml:space="preserve">A login screen is available (US-02)</t>
  </si>
  <si>
    <t xml:space="preserve">App opens directly on the Home screen. No login page and no password field.</t>
  </si>
  <si>
    <t xml:space="preserve">TC-123</t>
  </si>
  <si>
    <t xml:space="preserve">US-01</t>
  </si>
  <si>
    <t xml:space="preserve">Registration</t>
  </si>
  <si>
    <t xml:space="preserve">Look for a registration / sign-up option</t>
  </si>
  <si>
    <t xml:space="preserve">User can register with name, email and password (US-01)</t>
  </si>
  <si>
    <t xml:space="preserve">No registration screen. A default user 'Hemanth' is created automatically.</t>
  </si>
  <si>
    <t xml:space="preserve">TC-124</t>
  </si>
  <si>
    <t xml:space="preserve">Look for a Logout option on the Profile screen</t>
  </si>
  <si>
    <t xml:space="preserve">Logout button is available (US-02)</t>
  </si>
  <si>
    <t xml:space="preserve">No Logout button on the Profile screen.</t>
  </si>
  <si>
    <t xml:space="preserve">TC-125</t>
  </si>
  <si>
    <t xml:space="preserve">Notifications</t>
  </si>
  <si>
    <t xml:space="preserve">Create a task due tomorrow and look for a reminder</t>
  </si>
  <si>
    <t xml:space="preserve">A reminder / notification is shown for tasks due within 24 hours (US-12)</t>
  </si>
  <si>
    <t xml:space="preserve">Toast after saving: 'Task saved successfully'. No reminder or notification feature.</t>
  </si>
  <si>
    <t xml:space="preserve">TC-126</t>
  </si>
  <si>
    <t xml:space="preserve">US-11</t>
  </si>
  <si>
    <t xml:space="preserve">Categories</t>
  </si>
  <si>
    <t xml:space="preserve">Look for a Category / Project field in the Add Task form</t>
  </si>
  <si>
    <t xml:space="preserve">Category field is available (US-11, FR-06)</t>
  </si>
  <si>
    <t xml:space="preserve">Form has only title, description, due date, priority and status. No category field.</t>
  </si>
  <si>
    <t xml:space="preserve">TC-127</t>
  </si>
  <si>
    <t xml:space="preserve">US-14</t>
  </si>
  <si>
    <t xml:space="preserve">Team Features</t>
  </si>
  <si>
    <t xml:space="preserve">Look for an Assignee field in the Add Task form</t>
  </si>
  <si>
    <t xml:space="preserve">Assignee field is available for team leads (US-14)</t>
  </si>
  <si>
    <t xml:space="preserve">No assignee field (team features are out of the MVP prototype).</t>
  </si>
  <si>
    <t xml:space="preserve">TC-128</t>
  </si>
  <si>
    <t xml:space="preserve">FR-13</t>
  </si>
  <si>
    <t xml:space="preserve">Subtasks</t>
  </si>
  <si>
    <t xml:space="preserve">Open the Edit form and look for subtasks</t>
  </si>
  <si>
    <t xml:space="preserve">User can add subtasks / checklist items (FR-13)</t>
  </si>
  <si>
    <t xml:space="preserve">No subtask option in the task form.</t>
  </si>
  <si>
    <t xml:space="preserve">TC-129</t>
  </si>
  <si>
    <t xml:space="preserve">NFR-09</t>
  </si>
  <si>
    <t xml:space="preserve">Compatibility</t>
  </si>
  <si>
    <t xml:space="preserve">Open the app in Chrome (Chromium 141) and run the main flows</t>
  </si>
  <si>
    <t xml:space="preserve">All features work as expected</t>
  </si>
  <si>
    <t xml:space="preserve">Created, edited, deleted, filtered and completed tasks; no JavaScript errors in any test above.</t>
  </si>
  <si>
    <t xml:space="preserve">TC-130</t>
  </si>
  <si>
    <t xml:space="preserve">Open the app in Firefox</t>
  </si>
  <si>
    <t xml:space="preserve">Not tested: Firefox is not installed in the test environment. Run manually.</t>
  </si>
  <si>
    <t xml:space="preserve">Not Run</t>
  </si>
  <si>
    <t xml:space="preserve">TC-131</t>
  </si>
  <si>
    <t xml:space="preserve">Open the app in Edge</t>
  </si>
  <si>
    <t xml:space="preserve">Not tested: Edge is not installed in the test environment. Run manually.</t>
  </si>
  <si>
    <t xml:space="preserve">TC-132</t>
  </si>
  <si>
    <t xml:space="preserve">Open the app in Safari (iPhone or Mac)</t>
  </si>
  <si>
    <t xml:space="preserve">Not tested: Safari is not available in the test environment. Run manually.</t>
  </si>
  <si>
    <t xml:space="preserve">TC-133</t>
  </si>
  <si>
    <t xml:space="preserve">Check spelling, alignment and colours on all screens by eye</t>
  </si>
  <si>
    <t xml:space="preserve">No spelling mistakes, misaligned or overlapping elements</t>
  </si>
  <si>
    <t xml:space="preserve">Not tested: needs a visual check by a person. Do this manually and record the result.</t>
  </si>
  <si>
    <t xml:space="preserve">TC-134</t>
  </si>
  <si>
    <t xml:space="preserve">Open the app on a real phone (Android or iPhone)</t>
  </si>
  <si>
    <t xml:space="preserve">Layout fits the screen; buttons and keyboard work smoothly</t>
  </si>
  <si>
    <t xml:space="preserve">Not tested: needs a real device. Do this manually and record the result.</t>
  </si>
  <si>
    <t xml:space="preserve">Task Management App (Taskify) - Test Summary</t>
  </si>
  <si>
    <t xml:space="preserve">Total test cases</t>
  </si>
  <si>
    <t xml:space="preserve">Passed</t>
  </si>
  <si>
    <t xml:space="preserve">Failed</t>
  </si>
  <si>
    <t xml:space="preserve">Not run</t>
  </si>
  <si>
    <t xml:space="preserve">Pass rate (of executed)</t>
  </si>
  <si>
    <t xml:space="preserve">Test details</t>
  </si>
  <si>
    <t xml:space="preserve">Build tested: Taskify prototype (index.html, frontend only, data stored in browser localStorage).</t>
  </si>
  <si>
    <t xml:space="preserve">How it was run: automated browser run in Chromium 141 on 12 October 2026, mobile size 390 x 844 (also 375 x 667, 820 x 1180 and 1366 x 768 for layout tests). Each test started with a clean browser and the 6 sample tasks.</t>
  </si>
  <si>
    <t xml:space="preserve">Fail means the prototype does not meet the requirement in requirements.md (US/FR/NFR in Req. Ref). Log each Fail in defect-report.md.</t>
  </si>
  <si>
    <t xml:space="preserve">Not Run means the check needs a person or a browser/device that was not available (Firefox, Edge, Safari, real phone, visual check).</t>
  </si>
  <si>
    <t xml:space="preserve">Prepared by: Dhinesh (Tester). Version 1.1.</t>
  </si>
  <si>
    <t xml:space="preserve">Problem found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</si>
</sst>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9C0006"/>
        <bgColor rgb="FF80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595959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ont>
        <name val="Arial"/>
        <charset val="1"/>
        <family val="0"/>
        <b val="1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0006"/>
      </font>
      <fill>
        <patternFill>
          <bgColor rgb="FFFFC7CE"/>
        </patternFill>
      </fill>
    </dxf>
    <dxf>
      <font>
        <name val="Arial"/>
        <charset val="1"/>
        <family val="0"/>
        <b val="1"/>
        <color rgb="FF595959"/>
      </font>
      <fill>
        <patternFill>
          <bgColor rgb="FFEDEDE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DEDED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18"/>
    <col collapsed="false" customWidth="true" hidden="false" outlineLevel="0" max="5" min="4" style="0" width="46"/>
    <col collapsed="false" customWidth="true" hidden="false" outlineLevel="0" max="6" min="6" style="0" width="52"/>
    <col collapsed="false" customWidth="true" hidden="false" outlineLevel="0" max="7" min="7" style="0" width="16"/>
  </cols>
  <sheetData>
    <row r="1" customFormat="false" ht="27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23.85" hidden="false" customHeight="false" outlineLevel="0" collapsed="false">
      <c r="A2" s="2" t="s">
        <v>7</v>
      </c>
      <c r="B2" s="2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2" t="s">
        <v>13</v>
      </c>
    </row>
    <row r="3" customFormat="false" ht="35.05" hidden="false" customHeight="false" outlineLevel="0" collapsed="false">
      <c r="A3" s="2" t="s">
        <v>14</v>
      </c>
      <c r="B3" s="2" t="s">
        <v>15</v>
      </c>
      <c r="C3" s="3" t="s">
        <v>9</v>
      </c>
      <c r="D3" s="3" t="s">
        <v>16</v>
      </c>
      <c r="E3" s="3" t="s">
        <v>17</v>
      </c>
      <c r="F3" s="3" t="s">
        <v>18</v>
      </c>
      <c r="G3" s="2" t="s">
        <v>13</v>
      </c>
    </row>
    <row r="4" customFormat="false" ht="15" hidden="false" customHeight="false" outlineLevel="0" collapsed="false">
      <c r="A4" s="2" t="s">
        <v>19</v>
      </c>
      <c r="B4" s="2" t="s">
        <v>8</v>
      </c>
      <c r="C4" s="3" t="s">
        <v>9</v>
      </c>
      <c r="D4" s="3" t="s">
        <v>20</v>
      </c>
      <c r="E4" s="3" t="s">
        <v>21</v>
      </c>
      <c r="F4" s="3" t="s">
        <v>22</v>
      </c>
      <c r="G4" s="2" t="s">
        <v>13</v>
      </c>
    </row>
    <row r="5" customFormat="false" ht="23.85" hidden="false" customHeight="false" outlineLevel="0" collapsed="false">
      <c r="A5" s="2" t="s">
        <v>23</v>
      </c>
      <c r="B5" s="2" t="s">
        <v>8</v>
      </c>
      <c r="C5" s="3" t="s">
        <v>9</v>
      </c>
      <c r="D5" s="3" t="s">
        <v>24</v>
      </c>
      <c r="E5" s="3" t="s">
        <v>25</v>
      </c>
      <c r="F5" s="3" t="s">
        <v>26</v>
      </c>
      <c r="G5" s="2" t="s">
        <v>13</v>
      </c>
    </row>
    <row r="6" customFormat="false" ht="23.85" hidden="false" customHeight="false" outlineLevel="0" collapsed="false">
      <c r="A6" s="2" t="s">
        <v>27</v>
      </c>
      <c r="B6" s="2" t="s">
        <v>28</v>
      </c>
      <c r="C6" s="3" t="s">
        <v>9</v>
      </c>
      <c r="D6" s="3" t="s">
        <v>29</v>
      </c>
      <c r="E6" s="3" t="s">
        <v>30</v>
      </c>
      <c r="F6" s="3" t="s">
        <v>31</v>
      </c>
      <c r="G6" s="2" t="s">
        <v>32</v>
      </c>
    </row>
    <row r="7" customFormat="false" ht="15" hidden="false" customHeight="false" outlineLevel="0" collapsed="false">
      <c r="A7" s="2" t="s">
        <v>33</v>
      </c>
      <c r="B7" s="2" t="s">
        <v>15</v>
      </c>
      <c r="C7" s="3" t="s">
        <v>9</v>
      </c>
      <c r="D7" s="3" t="s">
        <v>34</v>
      </c>
      <c r="E7" s="3" t="s">
        <v>35</v>
      </c>
      <c r="F7" s="3" t="s">
        <v>36</v>
      </c>
      <c r="G7" s="2" t="s">
        <v>13</v>
      </c>
    </row>
    <row r="8" customFormat="false" ht="23.85" hidden="false" customHeight="false" outlineLevel="0" collapsed="false">
      <c r="A8" s="2" t="s">
        <v>37</v>
      </c>
      <c r="B8" s="2" t="s">
        <v>15</v>
      </c>
      <c r="C8" s="3" t="s">
        <v>9</v>
      </c>
      <c r="D8" s="3" t="s">
        <v>38</v>
      </c>
      <c r="E8" s="3" t="s">
        <v>39</v>
      </c>
      <c r="F8" s="3" t="s">
        <v>40</v>
      </c>
      <c r="G8" s="2" t="s">
        <v>13</v>
      </c>
    </row>
    <row r="9" customFormat="false" ht="23.85" hidden="false" customHeight="false" outlineLevel="0" collapsed="false">
      <c r="A9" s="2" t="s">
        <v>41</v>
      </c>
      <c r="B9" s="2" t="s">
        <v>42</v>
      </c>
      <c r="C9" s="3" t="s">
        <v>9</v>
      </c>
      <c r="D9" s="3" t="s">
        <v>43</v>
      </c>
      <c r="E9" s="3" t="s">
        <v>44</v>
      </c>
      <c r="F9" s="3" t="s">
        <v>45</v>
      </c>
      <c r="G9" s="2" t="s">
        <v>13</v>
      </c>
    </row>
    <row r="10" customFormat="false" ht="23.85" hidden="false" customHeight="false" outlineLevel="0" collapsed="false">
      <c r="A10" s="2" t="s">
        <v>46</v>
      </c>
      <c r="B10" s="2" t="s">
        <v>8</v>
      </c>
      <c r="C10" s="3" t="s">
        <v>9</v>
      </c>
      <c r="D10" s="3" t="s">
        <v>47</v>
      </c>
      <c r="E10" s="3" t="s">
        <v>48</v>
      </c>
      <c r="F10" s="3" t="s">
        <v>49</v>
      </c>
      <c r="G10" s="2" t="s">
        <v>13</v>
      </c>
    </row>
    <row r="11" customFormat="false" ht="23.85" hidden="false" customHeight="false" outlineLevel="0" collapsed="false">
      <c r="A11" s="2" t="s">
        <v>50</v>
      </c>
      <c r="B11" s="2" t="s">
        <v>51</v>
      </c>
      <c r="C11" s="3" t="s">
        <v>52</v>
      </c>
      <c r="D11" s="3" t="s">
        <v>53</v>
      </c>
      <c r="E11" s="3" t="s">
        <v>54</v>
      </c>
      <c r="F11" s="3" t="s">
        <v>55</v>
      </c>
      <c r="G11" s="2" t="s">
        <v>13</v>
      </c>
    </row>
    <row r="12" customFormat="false" ht="23.85" hidden="false" customHeight="false" outlineLevel="0" collapsed="false">
      <c r="A12" s="2" t="s">
        <v>56</v>
      </c>
      <c r="B12" s="2" t="s">
        <v>57</v>
      </c>
      <c r="C12" s="3" t="s">
        <v>52</v>
      </c>
      <c r="D12" s="3" t="s">
        <v>58</v>
      </c>
      <c r="E12" s="3" t="s">
        <v>59</v>
      </c>
      <c r="F12" s="3" t="s">
        <v>60</v>
      </c>
      <c r="G12" s="2" t="s">
        <v>13</v>
      </c>
    </row>
    <row r="13" customFormat="false" ht="23.85" hidden="false" customHeight="false" outlineLevel="0" collapsed="false">
      <c r="A13" s="2" t="s">
        <v>61</v>
      </c>
      <c r="B13" s="2" t="s">
        <v>51</v>
      </c>
      <c r="C13" s="3" t="s">
        <v>52</v>
      </c>
      <c r="D13" s="3" t="s">
        <v>62</v>
      </c>
      <c r="E13" s="3" t="s">
        <v>63</v>
      </c>
      <c r="F13" s="3" t="s">
        <v>64</v>
      </c>
      <c r="G13" s="2" t="s">
        <v>13</v>
      </c>
    </row>
    <row r="14" customFormat="false" ht="23.85" hidden="false" customHeight="false" outlineLevel="0" collapsed="false">
      <c r="A14" s="2" t="s">
        <v>65</v>
      </c>
      <c r="B14" s="2" t="s">
        <v>51</v>
      </c>
      <c r="C14" s="3" t="s">
        <v>52</v>
      </c>
      <c r="D14" s="3" t="s">
        <v>66</v>
      </c>
      <c r="E14" s="3" t="s">
        <v>67</v>
      </c>
      <c r="F14" s="3" t="s">
        <v>68</v>
      </c>
      <c r="G14" s="2" t="s">
        <v>13</v>
      </c>
    </row>
    <row r="15" customFormat="false" ht="23.85" hidden="false" customHeight="false" outlineLevel="0" collapsed="false">
      <c r="A15" s="2" t="s">
        <v>69</v>
      </c>
      <c r="B15" s="2" t="s">
        <v>51</v>
      </c>
      <c r="C15" s="3" t="s">
        <v>52</v>
      </c>
      <c r="D15" s="3" t="s">
        <v>70</v>
      </c>
      <c r="E15" s="3" t="s">
        <v>71</v>
      </c>
      <c r="F15" s="3" t="s">
        <v>72</v>
      </c>
      <c r="G15" s="2" t="s">
        <v>13</v>
      </c>
    </row>
    <row r="16" customFormat="false" ht="15" hidden="false" customHeight="false" outlineLevel="0" collapsed="false">
      <c r="A16" s="2" t="s">
        <v>73</v>
      </c>
      <c r="B16" s="2" t="s">
        <v>51</v>
      </c>
      <c r="C16" s="3" t="s">
        <v>52</v>
      </c>
      <c r="D16" s="3" t="s">
        <v>74</v>
      </c>
      <c r="E16" s="3" t="s">
        <v>75</v>
      </c>
      <c r="F16" s="3" t="s">
        <v>76</v>
      </c>
      <c r="G16" s="2" t="s">
        <v>13</v>
      </c>
    </row>
    <row r="17" customFormat="false" ht="15" hidden="false" customHeight="false" outlineLevel="0" collapsed="false">
      <c r="A17" s="2" t="s">
        <v>77</v>
      </c>
      <c r="B17" s="2" t="s">
        <v>51</v>
      </c>
      <c r="C17" s="3" t="s">
        <v>52</v>
      </c>
      <c r="D17" s="3" t="s">
        <v>78</v>
      </c>
      <c r="E17" s="3" t="s">
        <v>79</v>
      </c>
      <c r="F17" s="3" t="s">
        <v>80</v>
      </c>
      <c r="G17" s="2" t="s">
        <v>13</v>
      </c>
    </row>
    <row r="18" customFormat="false" ht="15" hidden="false" customHeight="false" outlineLevel="0" collapsed="false">
      <c r="A18" s="2" t="s">
        <v>81</v>
      </c>
      <c r="B18" s="2" t="s">
        <v>57</v>
      </c>
      <c r="C18" s="3" t="s">
        <v>52</v>
      </c>
      <c r="D18" s="3" t="s">
        <v>82</v>
      </c>
      <c r="E18" s="3" t="s">
        <v>83</v>
      </c>
      <c r="F18" s="3" t="s">
        <v>84</v>
      </c>
      <c r="G18" s="2" t="s">
        <v>13</v>
      </c>
    </row>
    <row r="19" customFormat="false" ht="15" hidden="false" customHeight="false" outlineLevel="0" collapsed="false">
      <c r="A19" s="2" t="s">
        <v>85</v>
      </c>
      <c r="B19" s="2" t="s">
        <v>57</v>
      </c>
      <c r="C19" s="3" t="s">
        <v>52</v>
      </c>
      <c r="D19" s="3" t="s">
        <v>86</v>
      </c>
      <c r="E19" s="3" t="s">
        <v>87</v>
      </c>
      <c r="F19" s="3" t="s">
        <v>88</v>
      </c>
      <c r="G19" s="2" t="s">
        <v>13</v>
      </c>
    </row>
    <row r="20" customFormat="false" ht="23.85" hidden="false" customHeight="false" outlineLevel="0" collapsed="false">
      <c r="A20" s="2" t="s">
        <v>89</v>
      </c>
      <c r="B20" s="2" t="s">
        <v>51</v>
      </c>
      <c r="C20" s="3" t="s">
        <v>52</v>
      </c>
      <c r="D20" s="3" t="s">
        <v>90</v>
      </c>
      <c r="E20" s="3" t="s">
        <v>91</v>
      </c>
      <c r="F20" s="3" t="s">
        <v>92</v>
      </c>
      <c r="G20" s="2" t="s">
        <v>32</v>
      </c>
    </row>
    <row r="21" customFormat="false" ht="23.85" hidden="false" customHeight="false" outlineLevel="0" collapsed="false">
      <c r="A21" s="2" t="s">
        <v>93</v>
      </c>
      <c r="B21" s="2" t="s">
        <v>51</v>
      </c>
      <c r="C21" s="3" t="s">
        <v>52</v>
      </c>
      <c r="D21" s="3" t="s">
        <v>94</v>
      </c>
      <c r="E21" s="3" t="s">
        <v>95</v>
      </c>
      <c r="F21" s="3" t="s">
        <v>96</v>
      </c>
      <c r="G21" s="2" t="s">
        <v>13</v>
      </c>
    </row>
    <row r="22" customFormat="false" ht="23.85" hidden="false" customHeight="false" outlineLevel="0" collapsed="false">
      <c r="A22" s="2" t="s">
        <v>97</v>
      </c>
      <c r="B22" s="2" t="s">
        <v>51</v>
      </c>
      <c r="C22" s="3" t="s">
        <v>52</v>
      </c>
      <c r="D22" s="3" t="s">
        <v>98</v>
      </c>
      <c r="E22" s="3" t="s">
        <v>99</v>
      </c>
      <c r="F22" s="3" t="s">
        <v>96</v>
      </c>
      <c r="G22" s="2" t="s">
        <v>13</v>
      </c>
    </row>
    <row r="23" customFormat="false" ht="15" hidden="false" customHeight="false" outlineLevel="0" collapsed="false">
      <c r="A23" s="2" t="s">
        <v>100</v>
      </c>
      <c r="B23" s="2" t="s">
        <v>51</v>
      </c>
      <c r="C23" s="3" t="s">
        <v>52</v>
      </c>
      <c r="D23" s="3" t="s">
        <v>101</v>
      </c>
      <c r="E23" s="3" t="s">
        <v>102</v>
      </c>
      <c r="F23" s="3" t="s">
        <v>103</v>
      </c>
      <c r="G23" s="2" t="s">
        <v>13</v>
      </c>
    </row>
    <row r="24" customFormat="false" ht="23.85" hidden="false" customHeight="false" outlineLevel="0" collapsed="false">
      <c r="A24" s="2" t="s">
        <v>104</v>
      </c>
      <c r="B24" s="2" t="s">
        <v>51</v>
      </c>
      <c r="C24" s="3" t="s">
        <v>52</v>
      </c>
      <c r="D24" s="3" t="s">
        <v>105</v>
      </c>
      <c r="E24" s="3" t="s">
        <v>106</v>
      </c>
      <c r="F24" s="3" t="s">
        <v>107</v>
      </c>
      <c r="G24" s="2" t="s">
        <v>13</v>
      </c>
    </row>
    <row r="25" customFormat="false" ht="23.85" hidden="false" customHeight="false" outlineLevel="0" collapsed="false">
      <c r="A25" s="2" t="s">
        <v>108</v>
      </c>
      <c r="B25" s="2" t="s">
        <v>109</v>
      </c>
      <c r="C25" s="3" t="s">
        <v>52</v>
      </c>
      <c r="D25" s="3" t="s">
        <v>110</v>
      </c>
      <c r="E25" s="3" t="s">
        <v>111</v>
      </c>
      <c r="F25" s="3" t="s">
        <v>112</v>
      </c>
      <c r="G25" s="2" t="s">
        <v>13</v>
      </c>
    </row>
    <row r="26" customFormat="false" ht="23.85" hidden="false" customHeight="false" outlineLevel="0" collapsed="false">
      <c r="A26" s="2" t="s">
        <v>113</v>
      </c>
      <c r="B26" s="2" t="s">
        <v>109</v>
      </c>
      <c r="C26" s="3" t="s">
        <v>52</v>
      </c>
      <c r="D26" s="3" t="s">
        <v>114</v>
      </c>
      <c r="E26" s="3" t="s">
        <v>115</v>
      </c>
      <c r="F26" s="3" t="s">
        <v>116</v>
      </c>
      <c r="G26" s="2" t="s">
        <v>13</v>
      </c>
    </row>
    <row r="27" customFormat="false" ht="15" hidden="false" customHeight="false" outlineLevel="0" collapsed="false">
      <c r="A27" s="2" t="s">
        <v>117</v>
      </c>
      <c r="B27" s="2" t="s">
        <v>51</v>
      </c>
      <c r="C27" s="3" t="s">
        <v>52</v>
      </c>
      <c r="D27" s="3" t="s">
        <v>118</v>
      </c>
      <c r="E27" s="3" t="s">
        <v>119</v>
      </c>
      <c r="F27" s="3" t="s">
        <v>120</v>
      </c>
      <c r="G27" s="2" t="s">
        <v>13</v>
      </c>
    </row>
    <row r="28" customFormat="false" ht="23.85" hidden="false" customHeight="false" outlineLevel="0" collapsed="false">
      <c r="A28" s="2" t="s">
        <v>121</v>
      </c>
      <c r="B28" s="2" t="s">
        <v>57</v>
      </c>
      <c r="C28" s="3" t="s">
        <v>52</v>
      </c>
      <c r="D28" s="3" t="s">
        <v>122</v>
      </c>
      <c r="E28" s="3" t="s">
        <v>123</v>
      </c>
      <c r="F28" s="3" t="s">
        <v>124</v>
      </c>
      <c r="G28" s="2" t="s">
        <v>13</v>
      </c>
    </row>
    <row r="29" customFormat="false" ht="15" hidden="false" customHeight="false" outlineLevel="0" collapsed="false">
      <c r="A29" s="2" t="s">
        <v>125</v>
      </c>
      <c r="B29" s="2" t="s">
        <v>126</v>
      </c>
      <c r="C29" s="3" t="s">
        <v>52</v>
      </c>
      <c r="D29" s="3" t="s">
        <v>127</v>
      </c>
      <c r="E29" s="3" t="s">
        <v>128</v>
      </c>
      <c r="F29" s="3" t="s">
        <v>129</v>
      </c>
      <c r="G29" s="2" t="s">
        <v>13</v>
      </c>
    </row>
    <row r="30" customFormat="false" ht="23.85" hidden="false" customHeight="false" outlineLevel="0" collapsed="false">
      <c r="A30" s="2" t="s">
        <v>130</v>
      </c>
      <c r="B30" s="2" t="s">
        <v>42</v>
      </c>
      <c r="C30" s="3" t="s">
        <v>131</v>
      </c>
      <c r="D30" s="3" t="s">
        <v>132</v>
      </c>
      <c r="E30" s="3" t="s">
        <v>133</v>
      </c>
      <c r="F30" s="3" t="s">
        <v>134</v>
      </c>
      <c r="G30" s="2" t="s">
        <v>13</v>
      </c>
    </row>
    <row r="31" customFormat="false" ht="23.85" hidden="false" customHeight="false" outlineLevel="0" collapsed="false">
      <c r="A31" s="2" t="s">
        <v>135</v>
      </c>
      <c r="B31" s="2" t="s">
        <v>42</v>
      </c>
      <c r="C31" s="3" t="s">
        <v>131</v>
      </c>
      <c r="D31" s="3" t="s">
        <v>136</v>
      </c>
      <c r="E31" s="3" t="s">
        <v>137</v>
      </c>
      <c r="F31" s="3" t="s">
        <v>138</v>
      </c>
      <c r="G31" s="2" t="s">
        <v>13</v>
      </c>
    </row>
    <row r="32" customFormat="false" ht="23.85" hidden="false" customHeight="false" outlineLevel="0" collapsed="false">
      <c r="A32" s="2" t="s">
        <v>139</v>
      </c>
      <c r="B32" s="2" t="s">
        <v>42</v>
      </c>
      <c r="C32" s="3" t="s">
        <v>131</v>
      </c>
      <c r="D32" s="3" t="s">
        <v>140</v>
      </c>
      <c r="E32" s="3" t="s">
        <v>141</v>
      </c>
      <c r="F32" s="3" t="s">
        <v>142</v>
      </c>
      <c r="G32" s="2" t="s">
        <v>13</v>
      </c>
    </row>
    <row r="33" customFormat="false" ht="15" hidden="false" customHeight="false" outlineLevel="0" collapsed="false">
      <c r="A33" s="2" t="s">
        <v>143</v>
      </c>
      <c r="B33" s="2" t="s">
        <v>144</v>
      </c>
      <c r="C33" s="3" t="s">
        <v>145</v>
      </c>
      <c r="D33" s="3" t="s">
        <v>146</v>
      </c>
      <c r="E33" s="3" t="s">
        <v>147</v>
      </c>
      <c r="F33" s="3" t="s">
        <v>148</v>
      </c>
      <c r="G33" s="2" t="s">
        <v>13</v>
      </c>
    </row>
    <row r="34" customFormat="false" ht="15" hidden="false" customHeight="false" outlineLevel="0" collapsed="false">
      <c r="A34" s="2" t="s">
        <v>149</v>
      </c>
      <c r="B34" s="2" t="s">
        <v>144</v>
      </c>
      <c r="C34" s="3" t="s">
        <v>145</v>
      </c>
      <c r="D34" s="3" t="s">
        <v>150</v>
      </c>
      <c r="E34" s="3" t="s">
        <v>151</v>
      </c>
      <c r="F34" s="3" t="s">
        <v>152</v>
      </c>
      <c r="G34" s="2" t="s">
        <v>13</v>
      </c>
    </row>
    <row r="35" customFormat="false" ht="23.85" hidden="false" customHeight="false" outlineLevel="0" collapsed="false">
      <c r="A35" s="2" t="s">
        <v>153</v>
      </c>
      <c r="B35" s="2" t="s">
        <v>144</v>
      </c>
      <c r="C35" s="3" t="s">
        <v>145</v>
      </c>
      <c r="D35" s="3" t="s">
        <v>154</v>
      </c>
      <c r="E35" s="3" t="s">
        <v>155</v>
      </c>
      <c r="F35" s="3" t="s">
        <v>156</v>
      </c>
      <c r="G35" s="2" t="s">
        <v>32</v>
      </c>
    </row>
    <row r="36" customFormat="false" ht="23.85" hidden="false" customHeight="false" outlineLevel="0" collapsed="false">
      <c r="A36" s="2" t="s">
        <v>157</v>
      </c>
      <c r="B36" s="2" t="s">
        <v>144</v>
      </c>
      <c r="C36" s="3" t="s">
        <v>145</v>
      </c>
      <c r="D36" s="3" t="s">
        <v>158</v>
      </c>
      <c r="E36" s="3" t="s">
        <v>159</v>
      </c>
      <c r="F36" s="3" t="s">
        <v>160</v>
      </c>
      <c r="G36" s="2" t="s">
        <v>13</v>
      </c>
    </row>
    <row r="37" customFormat="false" ht="15" hidden="false" customHeight="false" outlineLevel="0" collapsed="false">
      <c r="A37" s="2" t="s">
        <v>161</v>
      </c>
      <c r="B37" s="2" t="s">
        <v>144</v>
      </c>
      <c r="C37" s="3" t="s">
        <v>145</v>
      </c>
      <c r="D37" s="3" t="s">
        <v>162</v>
      </c>
      <c r="E37" s="3" t="s">
        <v>163</v>
      </c>
      <c r="F37" s="3" t="s">
        <v>164</v>
      </c>
      <c r="G37" s="2" t="s">
        <v>13</v>
      </c>
    </row>
    <row r="38" customFormat="false" ht="15" hidden="false" customHeight="false" outlineLevel="0" collapsed="false">
      <c r="A38" s="2" t="s">
        <v>165</v>
      </c>
      <c r="B38" s="2" t="s">
        <v>144</v>
      </c>
      <c r="C38" s="3" t="s">
        <v>145</v>
      </c>
      <c r="D38" s="3" t="s">
        <v>166</v>
      </c>
      <c r="E38" s="3" t="s">
        <v>167</v>
      </c>
      <c r="F38" s="3" t="s">
        <v>152</v>
      </c>
      <c r="G38" s="2" t="s">
        <v>13</v>
      </c>
    </row>
    <row r="39" customFormat="false" ht="23.85" hidden="false" customHeight="false" outlineLevel="0" collapsed="false">
      <c r="A39" s="2" t="s">
        <v>168</v>
      </c>
      <c r="B39" s="2" t="s">
        <v>169</v>
      </c>
      <c r="C39" s="3" t="s">
        <v>170</v>
      </c>
      <c r="D39" s="3" t="s">
        <v>171</v>
      </c>
      <c r="E39" s="3" t="s">
        <v>172</v>
      </c>
      <c r="F39" s="3" t="s">
        <v>173</v>
      </c>
      <c r="G39" s="2" t="s">
        <v>13</v>
      </c>
    </row>
    <row r="40" customFormat="false" ht="15" hidden="false" customHeight="false" outlineLevel="0" collapsed="false">
      <c r="A40" s="2" t="s">
        <v>174</v>
      </c>
      <c r="B40" s="2" t="s">
        <v>169</v>
      </c>
      <c r="C40" s="3" t="s">
        <v>170</v>
      </c>
      <c r="D40" s="3" t="s">
        <v>175</v>
      </c>
      <c r="E40" s="3" t="s">
        <v>176</v>
      </c>
      <c r="F40" s="3" t="s">
        <v>177</v>
      </c>
      <c r="G40" s="2" t="s">
        <v>13</v>
      </c>
    </row>
    <row r="41" customFormat="false" ht="15" hidden="false" customHeight="false" outlineLevel="0" collapsed="false">
      <c r="A41" s="2" t="s">
        <v>178</v>
      </c>
      <c r="B41" s="2" t="s">
        <v>169</v>
      </c>
      <c r="C41" s="3" t="s">
        <v>170</v>
      </c>
      <c r="D41" s="3" t="s">
        <v>179</v>
      </c>
      <c r="E41" s="3" t="s">
        <v>180</v>
      </c>
      <c r="F41" s="3" t="s">
        <v>181</v>
      </c>
      <c r="G41" s="2" t="s">
        <v>13</v>
      </c>
    </row>
    <row r="42" customFormat="false" ht="15" hidden="false" customHeight="false" outlineLevel="0" collapsed="false">
      <c r="A42" s="2" t="s">
        <v>182</v>
      </c>
      <c r="B42" s="2" t="s">
        <v>169</v>
      </c>
      <c r="C42" s="3" t="s">
        <v>170</v>
      </c>
      <c r="D42" s="3" t="s">
        <v>183</v>
      </c>
      <c r="E42" s="3" t="s">
        <v>184</v>
      </c>
      <c r="F42" s="3" t="s">
        <v>185</v>
      </c>
      <c r="G42" s="2" t="s">
        <v>13</v>
      </c>
    </row>
    <row r="43" customFormat="false" ht="15" hidden="false" customHeight="false" outlineLevel="0" collapsed="false">
      <c r="A43" s="2" t="s">
        <v>186</v>
      </c>
      <c r="B43" s="2" t="s">
        <v>169</v>
      </c>
      <c r="C43" s="3" t="s">
        <v>170</v>
      </c>
      <c r="D43" s="3" t="s">
        <v>187</v>
      </c>
      <c r="E43" s="3" t="s">
        <v>188</v>
      </c>
      <c r="F43" s="3" t="s">
        <v>189</v>
      </c>
      <c r="G43" s="2" t="s">
        <v>13</v>
      </c>
    </row>
    <row r="44" customFormat="false" ht="23.85" hidden="false" customHeight="false" outlineLevel="0" collapsed="false">
      <c r="A44" s="2" t="s">
        <v>190</v>
      </c>
      <c r="B44" s="2" t="s">
        <v>191</v>
      </c>
      <c r="C44" s="3" t="s">
        <v>170</v>
      </c>
      <c r="D44" s="3" t="s">
        <v>192</v>
      </c>
      <c r="E44" s="3" t="s">
        <v>193</v>
      </c>
      <c r="F44" s="3" t="s">
        <v>194</v>
      </c>
      <c r="G44" s="2" t="s">
        <v>32</v>
      </c>
    </row>
    <row r="45" customFormat="false" ht="23.85" hidden="false" customHeight="false" outlineLevel="0" collapsed="false">
      <c r="A45" s="2" t="s">
        <v>195</v>
      </c>
      <c r="B45" s="2" t="s">
        <v>196</v>
      </c>
      <c r="C45" s="3" t="s">
        <v>170</v>
      </c>
      <c r="D45" s="3" t="s">
        <v>197</v>
      </c>
      <c r="E45" s="3" t="s">
        <v>198</v>
      </c>
      <c r="F45" s="3" t="s">
        <v>199</v>
      </c>
      <c r="G45" s="2" t="s">
        <v>32</v>
      </c>
    </row>
    <row r="46" customFormat="false" ht="23.85" hidden="false" customHeight="false" outlineLevel="0" collapsed="false">
      <c r="A46" s="2" t="s">
        <v>200</v>
      </c>
      <c r="B46" s="2" t="s">
        <v>201</v>
      </c>
      <c r="C46" s="3" t="s">
        <v>131</v>
      </c>
      <c r="D46" s="3" t="s">
        <v>202</v>
      </c>
      <c r="E46" s="3" t="s">
        <v>203</v>
      </c>
      <c r="F46" s="3" t="s">
        <v>204</v>
      </c>
      <c r="G46" s="2" t="s">
        <v>13</v>
      </c>
    </row>
    <row r="47" customFormat="false" ht="15" hidden="false" customHeight="false" outlineLevel="0" collapsed="false">
      <c r="A47" s="2" t="s">
        <v>205</v>
      </c>
      <c r="B47" s="2" t="s">
        <v>201</v>
      </c>
      <c r="C47" s="3" t="s">
        <v>131</v>
      </c>
      <c r="D47" s="3" t="s">
        <v>206</v>
      </c>
      <c r="E47" s="3" t="s">
        <v>207</v>
      </c>
      <c r="F47" s="3" t="s">
        <v>208</v>
      </c>
      <c r="G47" s="2" t="s">
        <v>13</v>
      </c>
    </row>
    <row r="48" customFormat="false" ht="23.85" hidden="false" customHeight="false" outlineLevel="0" collapsed="false">
      <c r="A48" s="2" t="s">
        <v>209</v>
      </c>
      <c r="B48" s="2" t="s">
        <v>210</v>
      </c>
      <c r="C48" s="3" t="s">
        <v>211</v>
      </c>
      <c r="D48" s="3" t="s">
        <v>212</v>
      </c>
      <c r="E48" s="3" t="s">
        <v>213</v>
      </c>
      <c r="F48" s="3" t="s">
        <v>214</v>
      </c>
      <c r="G48" s="2" t="s">
        <v>13</v>
      </c>
    </row>
    <row r="49" customFormat="false" ht="23.85" hidden="false" customHeight="false" outlineLevel="0" collapsed="false">
      <c r="A49" s="2" t="s">
        <v>215</v>
      </c>
      <c r="B49" s="2" t="s">
        <v>210</v>
      </c>
      <c r="C49" s="3" t="s">
        <v>211</v>
      </c>
      <c r="D49" s="3" t="s">
        <v>216</v>
      </c>
      <c r="E49" s="3" t="s">
        <v>217</v>
      </c>
      <c r="F49" s="3" t="s">
        <v>218</v>
      </c>
      <c r="G49" s="2" t="s">
        <v>13</v>
      </c>
    </row>
    <row r="50" customFormat="false" ht="23.85" hidden="false" customHeight="false" outlineLevel="0" collapsed="false">
      <c r="A50" s="2" t="s">
        <v>219</v>
      </c>
      <c r="B50" s="2" t="s">
        <v>210</v>
      </c>
      <c r="C50" s="3" t="s">
        <v>211</v>
      </c>
      <c r="D50" s="3" t="s">
        <v>220</v>
      </c>
      <c r="E50" s="3" t="s">
        <v>221</v>
      </c>
      <c r="F50" s="3" t="s">
        <v>222</v>
      </c>
      <c r="G50" s="2" t="s">
        <v>13</v>
      </c>
    </row>
    <row r="51" customFormat="false" ht="15" hidden="false" customHeight="false" outlineLevel="0" collapsed="false">
      <c r="A51" s="2" t="s">
        <v>223</v>
      </c>
      <c r="B51" s="2" t="s">
        <v>210</v>
      </c>
      <c r="C51" s="3" t="s">
        <v>211</v>
      </c>
      <c r="D51" s="3" t="s">
        <v>224</v>
      </c>
      <c r="E51" s="3" t="s">
        <v>225</v>
      </c>
      <c r="F51" s="3" t="s">
        <v>226</v>
      </c>
      <c r="G51" s="2" t="s">
        <v>13</v>
      </c>
    </row>
    <row r="52" customFormat="false" ht="23.85" hidden="false" customHeight="false" outlineLevel="0" collapsed="false">
      <c r="A52" s="2" t="s">
        <v>227</v>
      </c>
      <c r="B52" s="2" t="s">
        <v>210</v>
      </c>
      <c r="C52" s="3" t="s">
        <v>211</v>
      </c>
      <c r="D52" s="3" t="s">
        <v>228</v>
      </c>
      <c r="E52" s="3" t="s">
        <v>229</v>
      </c>
      <c r="F52" s="3" t="s">
        <v>230</v>
      </c>
      <c r="G52" s="2" t="s">
        <v>13</v>
      </c>
    </row>
    <row r="53" customFormat="false" ht="15" hidden="false" customHeight="false" outlineLevel="0" collapsed="false">
      <c r="A53" s="2" t="s">
        <v>231</v>
      </c>
      <c r="B53" s="2" t="s">
        <v>210</v>
      </c>
      <c r="C53" s="3" t="s">
        <v>211</v>
      </c>
      <c r="D53" s="3" t="s">
        <v>232</v>
      </c>
      <c r="E53" s="3" t="s">
        <v>233</v>
      </c>
      <c r="F53" s="3" t="s">
        <v>234</v>
      </c>
      <c r="G53" s="2" t="s">
        <v>13</v>
      </c>
    </row>
    <row r="54" customFormat="false" ht="23.85" hidden="false" customHeight="false" outlineLevel="0" collapsed="false">
      <c r="A54" s="2" t="s">
        <v>235</v>
      </c>
      <c r="B54" s="2" t="s">
        <v>236</v>
      </c>
      <c r="C54" s="3" t="s">
        <v>237</v>
      </c>
      <c r="D54" s="3" t="s">
        <v>238</v>
      </c>
      <c r="E54" s="3" t="s">
        <v>239</v>
      </c>
      <c r="F54" s="3" t="s">
        <v>240</v>
      </c>
      <c r="G54" s="2" t="s">
        <v>13</v>
      </c>
    </row>
    <row r="55" customFormat="false" ht="23.85" hidden="false" customHeight="false" outlineLevel="0" collapsed="false">
      <c r="A55" s="2" t="s">
        <v>241</v>
      </c>
      <c r="B55" s="2" t="s">
        <v>236</v>
      </c>
      <c r="C55" s="3" t="s">
        <v>237</v>
      </c>
      <c r="D55" s="3" t="s">
        <v>242</v>
      </c>
      <c r="E55" s="3" t="s">
        <v>243</v>
      </c>
      <c r="F55" s="3" t="s">
        <v>244</v>
      </c>
      <c r="G55" s="2" t="s">
        <v>13</v>
      </c>
    </row>
    <row r="56" customFormat="false" ht="15" hidden="false" customHeight="false" outlineLevel="0" collapsed="false">
      <c r="A56" s="2" t="s">
        <v>245</v>
      </c>
      <c r="B56" s="2" t="s">
        <v>236</v>
      </c>
      <c r="C56" s="3" t="s">
        <v>237</v>
      </c>
      <c r="D56" s="3" t="s">
        <v>246</v>
      </c>
      <c r="E56" s="3" t="s">
        <v>247</v>
      </c>
      <c r="F56" s="3" t="s">
        <v>248</v>
      </c>
      <c r="G56" s="2" t="s">
        <v>13</v>
      </c>
    </row>
    <row r="57" customFormat="false" ht="15" hidden="false" customHeight="false" outlineLevel="0" collapsed="false">
      <c r="A57" s="2" t="s">
        <v>249</v>
      </c>
      <c r="B57" s="2" t="s">
        <v>236</v>
      </c>
      <c r="C57" s="3" t="s">
        <v>237</v>
      </c>
      <c r="D57" s="3" t="s">
        <v>250</v>
      </c>
      <c r="E57" s="3" t="s">
        <v>251</v>
      </c>
      <c r="F57" s="3" t="s">
        <v>248</v>
      </c>
      <c r="G57" s="2" t="s">
        <v>13</v>
      </c>
    </row>
    <row r="58" customFormat="false" ht="15" hidden="false" customHeight="false" outlineLevel="0" collapsed="false">
      <c r="A58" s="2" t="s">
        <v>252</v>
      </c>
      <c r="B58" s="2" t="s">
        <v>236</v>
      </c>
      <c r="C58" s="3" t="s">
        <v>237</v>
      </c>
      <c r="D58" s="3" t="s">
        <v>253</v>
      </c>
      <c r="E58" s="3" t="s">
        <v>251</v>
      </c>
      <c r="F58" s="3" t="s">
        <v>254</v>
      </c>
      <c r="G58" s="2" t="s">
        <v>13</v>
      </c>
    </row>
    <row r="59" customFormat="false" ht="23.85" hidden="false" customHeight="false" outlineLevel="0" collapsed="false">
      <c r="A59" s="2" t="s">
        <v>255</v>
      </c>
      <c r="B59" s="2" t="s">
        <v>236</v>
      </c>
      <c r="C59" s="3" t="s">
        <v>237</v>
      </c>
      <c r="D59" s="3" t="s">
        <v>256</v>
      </c>
      <c r="E59" s="3" t="s">
        <v>257</v>
      </c>
      <c r="F59" s="3" t="s">
        <v>258</v>
      </c>
      <c r="G59" s="2" t="s">
        <v>13</v>
      </c>
    </row>
    <row r="60" customFormat="false" ht="23.85" hidden="false" customHeight="false" outlineLevel="0" collapsed="false">
      <c r="A60" s="2" t="s">
        <v>259</v>
      </c>
      <c r="B60" s="2" t="s">
        <v>236</v>
      </c>
      <c r="C60" s="3" t="s">
        <v>237</v>
      </c>
      <c r="D60" s="3" t="s">
        <v>260</v>
      </c>
      <c r="E60" s="3" t="s">
        <v>261</v>
      </c>
      <c r="F60" s="3" t="s">
        <v>262</v>
      </c>
      <c r="G60" s="2" t="s">
        <v>13</v>
      </c>
    </row>
    <row r="61" customFormat="false" ht="35.05" hidden="false" customHeight="false" outlineLevel="0" collapsed="false">
      <c r="A61" s="2" t="s">
        <v>263</v>
      </c>
      <c r="B61" s="2" t="s">
        <v>264</v>
      </c>
      <c r="C61" s="3" t="s">
        <v>265</v>
      </c>
      <c r="D61" s="3" t="s">
        <v>266</v>
      </c>
      <c r="E61" s="3" t="s">
        <v>267</v>
      </c>
      <c r="F61" s="3" t="s">
        <v>268</v>
      </c>
      <c r="G61" s="2" t="s">
        <v>13</v>
      </c>
    </row>
    <row r="62" customFormat="false" ht="23.85" hidden="false" customHeight="false" outlineLevel="0" collapsed="false">
      <c r="A62" s="2" t="s">
        <v>269</v>
      </c>
      <c r="B62" s="2" t="s">
        <v>264</v>
      </c>
      <c r="C62" s="3" t="s">
        <v>265</v>
      </c>
      <c r="D62" s="3" t="s">
        <v>270</v>
      </c>
      <c r="E62" s="3" t="s">
        <v>271</v>
      </c>
      <c r="F62" s="3" t="s">
        <v>272</v>
      </c>
      <c r="G62" s="2" t="s">
        <v>13</v>
      </c>
    </row>
    <row r="63" customFormat="false" ht="23.85" hidden="false" customHeight="false" outlineLevel="0" collapsed="false">
      <c r="A63" s="2" t="s">
        <v>273</v>
      </c>
      <c r="B63" s="2" t="s">
        <v>264</v>
      </c>
      <c r="C63" s="3" t="s">
        <v>265</v>
      </c>
      <c r="D63" s="3" t="s">
        <v>274</v>
      </c>
      <c r="E63" s="3" t="s">
        <v>275</v>
      </c>
      <c r="F63" s="3" t="s">
        <v>276</v>
      </c>
      <c r="G63" s="2" t="s">
        <v>13</v>
      </c>
    </row>
    <row r="64" customFormat="false" ht="23.85" hidden="false" customHeight="false" outlineLevel="0" collapsed="false">
      <c r="A64" s="2" t="s">
        <v>277</v>
      </c>
      <c r="B64" s="2" t="s">
        <v>278</v>
      </c>
      <c r="C64" s="3" t="s">
        <v>265</v>
      </c>
      <c r="D64" s="3" t="s">
        <v>279</v>
      </c>
      <c r="E64" s="3" t="s">
        <v>280</v>
      </c>
      <c r="F64" s="3" t="s">
        <v>281</v>
      </c>
      <c r="G64" s="2" t="s">
        <v>13</v>
      </c>
    </row>
    <row r="65" customFormat="false" ht="23.85" hidden="false" customHeight="false" outlineLevel="0" collapsed="false">
      <c r="A65" s="2" t="s">
        <v>282</v>
      </c>
      <c r="B65" s="2" t="s">
        <v>278</v>
      </c>
      <c r="C65" s="3" t="s">
        <v>265</v>
      </c>
      <c r="D65" s="3" t="s">
        <v>283</v>
      </c>
      <c r="E65" s="3" t="s">
        <v>284</v>
      </c>
      <c r="F65" s="3" t="s">
        <v>285</v>
      </c>
      <c r="G65" s="2" t="s">
        <v>13</v>
      </c>
    </row>
    <row r="66" customFormat="false" ht="23.85" hidden="false" customHeight="false" outlineLevel="0" collapsed="false">
      <c r="A66" s="2" t="s">
        <v>286</v>
      </c>
      <c r="B66" s="2" t="s">
        <v>278</v>
      </c>
      <c r="C66" s="3" t="s">
        <v>265</v>
      </c>
      <c r="D66" s="3" t="s">
        <v>287</v>
      </c>
      <c r="E66" s="3" t="s">
        <v>288</v>
      </c>
      <c r="F66" s="3" t="s">
        <v>289</v>
      </c>
      <c r="G66" s="2" t="s">
        <v>13</v>
      </c>
    </row>
    <row r="67" customFormat="false" ht="23.85" hidden="false" customHeight="false" outlineLevel="0" collapsed="false">
      <c r="A67" s="2" t="s">
        <v>290</v>
      </c>
      <c r="B67" s="2" t="s">
        <v>264</v>
      </c>
      <c r="C67" s="3" t="s">
        <v>265</v>
      </c>
      <c r="D67" s="3" t="s">
        <v>291</v>
      </c>
      <c r="E67" s="3" t="s">
        <v>292</v>
      </c>
      <c r="F67" s="3" t="s">
        <v>293</v>
      </c>
      <c r="G67" s="2" t="s">
        <v>13</v>
      </c>
    </row>
    <row r="68" customFormat="false" ht="15" hidden="false" customHeight="false" outlineLevel="0" collapsed="false">
      <c r="A68" s="2" t="s">
        <v>294</v>
      </c>
      <c r="B68" s="2" t="s">
        <v>28</v>
      </c>
      <c r="C68" s="3" t="s">
        <v>265</v>
      </c>
      <c r="D68" s="3" t="s">
        <v>295</v>
      </c>
      <c r="E68" s="3" t="s">
        <v>296</v>
      </c>
      <c r="F68" s="3" t="s">
        <v>297</v>
      </c>
      <c r="G68" s="2" t="s">
        <v>13</v>
      </c>
    </row>
    <row r="69" customFormat="false" ht="15" hidden="false" customHeight="false" outlineLevel="0" collapsed="false">
      <c r="A69" s="2" t="s">
        <v>298</v>
      </c>
      <c r="B69" s="2" t="s">
        <v>28</v>
      </c>
      <c r="C69" s="3" t="s">
        <v>265</v>
      </c>
      <c r="D69" s="3" t="s">
        <v>299</v>
      </c>
      <c r="E69" s="3" t="s">
        <v>300</v>
      </c>
      <c r="F69" s="3" t="s">
        <v>301</v>
      </c>
      <c r="G69" s="2" t="s">
        <v>13</v>
      </c>
    </row>
    <row r="70" customFormat="false" ht="15" hidden="false" customHeight="false" outlineLevel="0" collapsed="false">
      <c r="A70" s="2" t="s">
        <v>302</v>
      </c>
      <c r="B70" s="2" t="s">
        <v>28</v>
      </c>
      <c r="C70" s="3" t="s">
        <v>265</v>
      </c>
      <c r="D70" s="3" t="s">
        <v>303</v>
      </c>
      <c r="E70" s="3" t="s">
        <v>304</v>
      </c>
      <c r="F70" s="3" t="s">
        <v>305</v>
      </c>
      <c r="G70" s="2" t="s">
        <v>13</v>
      </c>
    </row>
    <row r="71" customFormat="false" ht="15" hidden="false" customHeight="false" outlineLevel="0" collapsed="false">
      <c r="A71" s="2" t="s">
        <v>306</v>
      </c>
      <c r="B71" s="2" t="s">
        <v>15</v>
      </c>
      <c r="C71" s="3" t="s">
        <v>265</v>
      </c>
      <c r="D71" s="3" t="s">
        <v>307</v>
      </c>
      <c r="E71" s="3" t="s">
        <v>308</v>
      </c>
      <c r="F71" s="3" t="s">
        <v>309</v>
      </c>
      <c r="G71" s="2" t="s">
        <v>13</v>
      </c>
    </row>
    <row r="72" customFormat="false" ht="15" hidden="false" customHeight="false" outlineLevel="0" collapsed="false">
      <c r="A72" s="2" t="s">
        <v>310</v>
      </c>
      <c r="B72" s="2" t="s">
        <v>264</v>
      </c>
      <c r="C72" s="3" t="s">
        <v>311</v>
      </c>
      <c r="D72" s="3" t="s">
        <v>312</v>
      </c>
      <c r="E72" s="3" t="s">
        <v>313</v>
      </c>
      <c r="F72" s="3" t="s">
        <v>314</v>
      </c>
      <c r="G72" s="2" t="s">
        <v>13</v>
      </c>
    </row>
    <row r="73" customFormat="false" ht="15" hidden="false" customHeight="false" outlineLevel="0" collapsed="false">
      <c r="A73" s="2" t="s">
        <v>315</v>
      </c>
      <c r="B73" s="2" t="s">
        <v>264</v>
      </c>
      <c r="C73" s="3" t="s">
        <v>311</v>
      </c>
      <c r="D73" s="3" t="s">
        <v>316</v>
      </c>
      <c r="E73" s="3" t="s">
        <v>313</v>
      </c>
      <c r="F73" s="3" t="s">
        <v>314</v>
      </c>
      <c r="G73" s="2" t="s">
        <v>13</v>
      </c>
    </row>
    <row r="74" customFormat="false" ht="15" hidden="false" customHeight="false" outlineLevel="0" collapsed="false">
      <c r="A74" s="2" t="s">
        <v>317</v>
      </c>
      <c r="B74" s="2" t="s">
        <v>264</v>
      </c>
      <c r="C74" s="3" t="s">
        <v>311</v>
      </c>
      <c r="D74" s="3" t="s">
        <v>318</v>
      </c>
      <c r="E74" s="3" t="s">
        <v>319</v>
      </c>
      <c r="F74" s="3" t="s">
        <v>320</v>
      </c>
      <c r="G74" s="2" t="s">
        <v>13</v>
      </c>
    </row>
    <row r="75" customFormat="false" ht="15" hidden="false" customHeight="false" outlineLevel="0" collapsed="false">
      <c r="A75" s="2" t="s">
        <v>321</v>
      </c>
      <c r="B75" s="2" t="s">
        <v>264</v>
      </c>
      <c r="C75" s="3" t="s">
        <v>311</v>
      </c>
      <c r="D75" s="3" t="s">
        <v>322</v>
      </c>
      <c r="E75" s="3" t="s">
        <v>323</v>
      </c>
      <c r="F75" s="3" t="s">
        <v>324</v>
      </c>
      <c r="G75" s="2" t="s">
        <v>13</v>
      </c>
    </row>
    <row r="76" customFormat="false" ht="15" hidden="false" customHeight="false" outlineLevel="0" collapsed="false">
      <c r="A76" s="2" t="s">
        <v>325</v>
      </c>
      <c r="B76" s="2" t="s">
        <v>15</v>
      </c>
      <c r="C76" s="3" t="s">
        <v>326</v>
      </c>
      <c r="D76" s="3" t="s">
        <v>327</v>
      </c>
      <c r="E76" s="3" t="s">
        <v>328</v>
      </c>
      <c r="F76" s="3" t="s">
        <v>329</v>
      </c>
      <c r="G76" s="2" t="s">
        <v>13</v>
      </c>
    </row>
    <row r="77" customFormat="false" ht="23.85" hidden="false" customHeight="false" outlineLevel="0" collapsed="false">
      <c r="A77" s="2" t="s">
        <v>330</v>
      </c>
      <c r="B77" s="2" t="s">
        <v>15</v>
      </c>
      <c r="C77" s="3" t="s">
        <v>326</v>
      </c>
      <c r="D77" s="3" t="s">
        <v>331</v>
      </c>
      <c r="E77" s="3" t="s">
        <v>332</v>
      </c>
      <c r="F77" s="3" t="s">
        <v>333</v>
      </c>
      <c r="G77" s="2" t="s">
        <v>13</v>
      </c>
    </row>
    <row r="78" customFormat="false" ht="15" hidden="false" customHeight="false" outlineLevel="0" collapsed="false">
      <c r="A78" s="2" t="s">
        <v>334</v>
      </c>
      <c r="B78" s="2" t="s">
        <v>15</v>
      </c>
      <c r="C78" s="3" t="s">
        <v>326</v>
      </c>
      <c r="D78" s="3" t="s">
        <v>335</v>
      </c>
      <c r="E78" s="3" t="s">
        <v>336</v>
      </c>
      <c r="F78" s="3" t="s">
        <v>337</v>
      </c>
      <c r="G78" s="2" t="s">
        <v>13</v>
      </c>
    </row>
    <row r="79" customFormat="false" ht="15" hidden="false" customHeight="false" outlineLevel="0" collapsed="false">
      <c r="A79" s="2" t="s">
        <v>338</v>
      </c>
      <c r="B79" s="2" t="s">
        <v>15</v>
      </c>
      <c r="C79" s="3" t="s">
        <v>326</v>
      </c>
      <c r="D79" s="3" t="s">
        <v>339</v>
      </c>
      <c r="E79" s="3" t="s">
        <v>340</v>
      </c>
      <c r="F79" s="3" t="s">
        <v>341</v>
      </c>
      <c r="G79" s="2" t="s">
        <v>13</v>
      </c>
    </row>
    <row r="80" customFormat="false" ht="23.85" hidden="false" customHeight="false" outlineLevel="0" collapsed="false">
      <c r="A80" s="2" t="s">
        <v>342</v>
      </c>
      <c r="B80" s="2" t="s">
        <v>15</v>
      </c>
      <c r="C80" s="3" t="s">
        <v>326</v>
      </c>
      <c r="D80" s="3" t="s">
        <v>343</v>
      </c>
      <c r="E80" s="3" t="s">
        <v>344</v>
      </c>
      <c r="F80" s="3" t="s">
        <v>329</v>
      </c>
      <c r="G80" s="2" t="s">
        <v>13</v>
      </c>
    </row>
    <row r="81" customFormat="false" ht="15" hidden="false" customHeight="false" outlineLevel="0" collapsed="false">
      <c r="A81" s="2" t="s">
        <v>345</v>
      </c>
      <c r="B81" s="2" t="s">
        <v>15</v>
      </c>
      <c r="C81" s="3" t="s">
        <v>326</v>
      </c>
      <c r="D81" s="3" t="s">
        <v>346</v>
      </c>
      <c r="E81" s="3" t="s">
        <v>347</v>
      </c>
      <c r="F81" s="3" t="s">
        <v>348</v>
      </c>
      <c r="G81" s="2" t="s">
        <v>13</v>
      </c>
    </row>
    <row r="82" customFormat="false" ht="23.85" hidden="false" customHeight="false" outlineLevel="0" collapsed="false">
      <c r="A82" s="2" t="s">
        <v>349</v>
      </c>
      <c r="B82" s="2" t="s">
        <v>15</v>
      </c>
      <c r="C82" s="3" t="s">
        <v>326</v>
      </c>
      <c r="D82" s="3" t="s">
        <v>350</v>
      </c>
      <c r="E82" s="3" t="s">
        <v>351</v>
      </c>
      <c r="F82" s="3" t="s">
        <v>352</v>
      </c>
      <c r="G82" s="2" t="s">
        <v>13</v>
      </c>
    </row>
    <row r="83" customFormat="false" ht="23.85" hidden="false" customHeight="false" outlineLevel="0" collapsed="false">
      <c r="A83" s="2" t="s">
        <v>353</v>
      </c>
      <c r="B83" s="2" t="s">
        <v>15</v>
      </c>
      <c r="C83" s="3" t="s">
        <v>326</v>
      </c>
      <c r="D83" s="3" t="s">
        <v>354</v>
      </c>
      <c r="E83" s="3" t="s">
        <v>355</v>
      </c>
      <c r="F83" s="3" t="s">
        <v>356</v>
      </c>
      <c r="G83" s="2" t="s">
        <v>13</v>
      </c>
    </row>
    <row r="84" customFormat="false" ht="23.85" hidden="false" customHeight="false" outlineLevel="0" collapsed="false">
      <c r="A84" s="2" t="s">
        <v>357</v>
      </c>
      <c r="B84" s="2" t="s">
        <v>57</v>
      </c>
      <c r="C84" s="3" t="s">
        <v>326</v>
      </c>
      <c r="D84" s="3" t="s">
        <v>358</v>
      </c>
      <c r="E84" s="3" t="s">
        <v>359</v>
      </c>
      <c r="F84" s="3" t="s">
        <v>360</v>
      </c>
      <c r="G84" s="2" t="s">
        <v>13</v>
      </c>
    </row>
    <row r="85" customFormat="false" ht="15" hidden="false" customHeight="false" outlineLevel="0" collapsed="false">
      <c r="A85" s="2" t="s">
        <v>361</v>
      </c>
      <c r="B85" s="2" t="s">
        <v>57</v>
      </c>
      <c r="C85" s="3" t="s">
        <v>326</v>
      </c>
      <c r="D85" s="3" t="s">
        <v>362</v>
      </c>
      <c r="E85" s="3" t="s">
        <v>363</v>
      </c>
      <c r="F85" s="3" t="s">
        <v>364</v>
      </c>
      <c r="G85" s="2" t="s">
        <v>13</v>
      </c>
    </row>
    <row r="86" customFormat="false" ht="23.85" hidden="false" customHeight="false" outlineLevel="0" collapsed="false">
      <c r="A86" s="2" t="s">
        <v>365</v>
      </c>
      <c r="B86" s="2" t="s">
        <v>57</v>
      </c>
      <c r="C86" s="3" t="s">
        <v>326</v>
      </c>
      <c r="D86" s="3" t="s">
        <v>366</v>
      </c>
      <c r="E86" s="3" t="s">
        <v>367</v>
      </c>
      <c r="F86" s="3" t="s">
        <v>368</v>
      </c>
      <c r="G86" s="2" t="s">
        <v>13</v>
      </c>
    </row>
    <row r="87" customFormat="false" ht="15" hidden="false" customHeight="false" outlineLevel="0" collapsed="false">
      <c r="A87" s="2" t="s">
        <v>369</v>
      </c>
      <c r="B87" s="2" t="s">
        <v>370</v>
      </c>
      <c r="C87" s="3" t="s">
        <v>326</v>
      </c>
      <c r="D87" s="3" t="s">
        <v>371</v>
      </c>
      <c r="E87" s="3" t="s">
        <v>372</v>
      </c>
      <c r="F87" s="3" t="s">
        <v>373</v>
      </c>
      <c r="G87" s="2" t="s">
        <v>13</v>
      </c>
    </row>
    <row r="88" customFormat="false" ht="23.85" hidden="false" customHeight="false" outlineLevel="0" collapsed="false">
      <c r="A88" s="2" t="s">
        <v>374</v>
      </c>
      <c r="B88" s="2" t="s">
        <v>375</v>
      </c>
      <c r="C88" s="3" t="s">
        <v>376</v>
      </c>
      <c r="D88" s="3" t="s">
        <v>377</v>
      </c>
      <c r="E88" s="3" t="s">
        <v>378</v>
      </c>
      <c r="F88" s="3" t="s">
        <v>379</v>
      </c>
      <c r="G88" s="2" t="s">
        <v>13</v>
      </c>
    </row>
    <row r="89" customFormat="false" ht="23.85" hidden="false" customHeight="false" outlineLevel="0" collapsed="false">
      <c r="A89" s="2" t="s">
        <v>380</v>
      </c>
      <c r="B89" s="2" t="s">
        <v>375</v>
      </c>
      <c r="C89" s="3" t="s">
        <v>376</v>
      </c>
      <c r="D89" s="3" t="s">
        <v>381</v>
      </c>
      <c r="E89" s="3" t="s">
        <v>382</v>
      </c>
      <c r="F89" s="3" t="s">
        <v>383</v>
      </c>
      <c r="G89" s="2" t="s">
        <v>13</v>
      </c>
    </row>
    <row r="90" customFormat="false" ht="15" hidden="false" customHeight="false" outlineLevel="0" collapsed="false">
      <c r="A90" s="2" t="s">
        <v>384</v>
      </c>
      <c r="B90" s="2" t="s">
        <v>375</v>
      </c>
      <c r="C90" s="3" t="s">
        <v>376</v>
      </c>
      <c r="D90" s="3" t="s">
        <v>385</v>
      </c>
      <c r="E90" s="3" t="s">
        <v>386</v>
      </c>
      <c r="F90" s="3" t="s">
        <v>387</v>
      </c>
      <c r="G90" s="2" t="s">
        <v>13</v>
      </c>
    </row>
    <row r="91" customFormat="false" ht="15" hidden="false" customHeight="false" outlineLevel="0" collapsed="false">
      <c r="A91" s="2" t="s">
        <v>388</v>
      </c>
      <c r="B91" s="2" t="s">
        <v>375</v>
      </c>
      <c r="C91" s="3" t="s">
        <v>376</v>
      </c>
      <c r="D91" s="3" t="s">
        <v>389</v>
      </c>
      <c r="E91" s="3" t="s">
        <v>390</v>
      </c>
      <c r="F91" s="3" t="s">
        <v>391</v>
      </c>
      <c r="G91" s="2" t="s">
        <v>13</v>
      </c>
    </row>
    <row r="92" customFormat="false" ht="15" hidden="false" customHeight="false" outlineLevel="0" collapsed="false">
      <c r="A92" s="2" t="s">
        <v>392</v>
      </c>
      <c r="B92" s="2" t="s">
        <v>375</v>
      </c>
      <c r="C92" s="3" t="s">
        <v>376</v>
      </c>
      <c r="D92" s="3" t="s">
        <v>393</v>
      </c>
      <c r="E92" s="3" t="s">
        <v>394</v>
      </c>
      <c r="F92" s="3" t="s">
        <v>387</v>
      </c>
      <c r="G92" s="2" t="s">
        <v>13</v>
      </c>
    </row>
    <row r="93" customFormat="false" ht="23.85" hidden="false" customHeight="false" outlineLevel="0" collapsed="false">
      <c r="A93" s="2" t="s">
        <v>395</v>
      </c>
      <c r="B93" s="2" t="s">
        <v>201</v>
      </c>
      <c r="C93" s="3" t="s">
        <v>376</v>
      </c>
      <c r="D93" s="3" t="s">
        <v>396</v>
      </c>
      <c r="E93" s="3" t="s">
        <v>397</v>
      </c>
      <c r="F93" s="3" t="s">
        <v>398</v>
      </c>
      <c r="G93" s="2" t="s">
        <v>13</v>
      </c>
    </row>
    <row r="94" customFormat="false" ht="15" hidden="false" customHeight="false" outlineLevel="0" collapsed="false">
      <c r="A94" s="2" t="s">
        <v>399</v>
      </c>
      <c r="B94" s="2" t="s">
        <v>201</v>
      </c>
      <c r="C94" s="3" t="s">
        <v>376</v>
      </c>
      <c r="D94" s="3" t="s">
        <v>400</v>
      </c>
      <c r="E94" s="3" t="s">
        <v>401</v>
      </c>
      <c r="F94" s="3" t="s">
        <v>402</v>
      </c>
      <c r="G94" s="2" t="s">
        <v>13</v>
      </c>
    </row>
    <row r="95" customFormat="false" ht="23.85" hidden="false" customHeight="false" outlineLevel="0" collapsed="false">
      <c r="A95" s="2" t="s">
        <v>403</v>
      </c>
      <c r="B95" s="2" t="s">
        <v>15</v>
      </c>
      <c r="C95" s="3" t="s">
        <v>376</v>
      </c>
      <c r="D95" s="3" t="s">
        <v>404</v>
      </c>
      <c r="E95" s="3" t="s">
        <v>405</v>
      </c>
      <c r="F95" s="3" t="s">
        <v>406</v>
      </c>
      <c r="G95" s="2" t="s">
        <v>13</v>
      </c>
    </row>
    <row r="96" customFormat="false" ht="15" hidden="false" customHeight="false" outlineLevel="0" collapsed="false">
      <c r="A96" s="2" t="s">
        <v>407</v>
      </c>
      <c r="B96" s="2" t="s">
        <v>15</v>
      </c>
      <c r="C96" s="3" t="s">
        <v>376</v>
      </c>
      <c r="D96" s="3" t="s">
        <v>408</v>
      </c>
      <c r="E96" s="3" t="s">
        <v>409</v>
      </c>
      <c r="F96" s="3" t="s">
        <v>410</v>
      </c>
      <c r="G96" s="2" t="s">
        <v>13</v>
      </c>
    </row>
    <row r="97" customFormat="false" ht="23.85" hidden="false" customHeight="false" outlineLevel="0" collapsed="false">
      <c r="A97" s="2" t="s">
        <v>411</v>
      </c>
      <c r="B97" s="2" t="s">
        <v>126</v>
      </c>
      <c r="C97" s="3" t="s">
        <v>412</v>
      </c>
      <c r="D97" s="3" t="s">
        <v>413</v>
      </c>
      <c r="E97" s="3" t="s">
        <v>414</v>
      </c>
      <c r="F97" s="3" t="s">
        <v>415</v>
      </c>
      <c r="G97" s="2" t="s">
        <v>13</v>
      </c>
    </row>
    <row r="98" customFormat="false" ht="15" hidden="false" customHeight="false" outlineLevel="0" collapsed="false">
      <c r="A98" s="2" t="s">
        <v>416</v>
      </c>
      <c r="B98" s="2" t="s">
        <v>126</v>
      </c>
      <c r="C98" s="3" t="s">
        <v>412</v>
      </c>
      <c r="D98" s="3" t="s">
        <v>417</v>
      </c>
      <c r="E98" s="3" t="s">
        <v>418</v>
      </c>
      <c r="F98" s="3" t="s">
        <v>419</v>
      </c>
      <c r="G98" s="2" t="s">
        <v>13</v>
      </c>
    </row>
    <row r="99" customFormat="false" ht="23.85" hidden="false" customHeight="false" outlineLevel="0" collapsed="false">
      <c r="A99" s="2" t="s">
        <v>420</v>
      </c>
      <c r="B99" s="2" t="s">
        <v>126</v>
      </c>
      <c r="C99" s="3" t="s">
        <v>412</v>
      </c>
      <c r="D99" s="3" t="s">
        <v>421</v>
      </c>
      <c r="E99" s="3" t="s">
        <v>422</v>
      </c>
      <c r="F99" s="3" t="s">
        <v>423</v>
      </c>
      <c r="G99" s="2" t="s">
        <v>13</v>
      </c>
    </row>
    <row r="100" customFormat="false" ht="15" hidden="false" customHeight="false" outlineLevel="0" collapsed="false">
      <c r="A100" s="2" t="s">
        <v>424</v>
      </c>
      <c r="B100" s="2" t="s">
        <v>126</v>
      </c>
      <c r="C100" s="3" t="s">
        <v>412</v>
      </c>
      <c r="D100" s="3" t="s">
        <v>425</v>
      </c>
      <c r="E100" s="3" t="s">
        <v>426</v>
      </c>
      <c r="F100" s="3" t="s">
        <v>427</v>
      </c>
      <c r="G100" s="2" t="s">
        <v>13</v>
      </c>
    </row>
    <row r="101" customFormat="false" ht="15" hidden="false" customHeight="false" outlineLevel="0" collapsed="false">
      <c r="A101" s="2" t="s">
        <v>428</v>
      </c>
      <c r="B101" s="2" t="s">
        <v>126</v>
      </c>
      <c r="C101" s="3" t="s">
        <v>412</v>
      </c>
      <c r="D101" s="3" t="s">
        <v>429</v>
      </c>
      <c r="E101" s="3" t="s">
        <v>430</v>
      </c>
      <c r="F101" s="3" t="s">
        <v>431</v>
      </c>
      <c r="G101" s="2" t="s">
        <v>13</v>
      </c>
    </row>
    <row r="102" customFormat="false" ht="15" hidden="false" customHeight="false" outlineLevel="0" collapsed="false">
      <c r="A102" s="2" t="s">
        <v>432</v>
      </c>
      <c r="B102" s="2" t="s">
        <v>126</v>
      </c>
      <c r="C102" s="3" t="s">
        <v>412</v>
      </c>
      <c r="D102" s="3" t="s">
        <v>433</v>
      </c>
      <c r="E102" s="3" t="s">
        <v>434</v>
      </c>
      <c r="F102" s="3" t="s">
        <v>435</v>
      </c>
      <c r="G102" s="2" t="s">
        <v>13</v>
      </c>
    </row>
    <row r="103" customFormat="false" ht="15" hidden="false" customHeight="false" outlineLevel="0" collapsed="false">
      <c r="A103" s="2" t="s">
        <v>436</v>
      </c>
      <c r="B103" s="2" t="s">
        <v>437</v>
      </c>
      <c r="C103" s="3" t="s">
        <v>438</v>
      </c>
      <c r="D103" s="3" t="s">
        <v>439</v>
      </c>
      <c r="E103" s="3" t="s">
        <v>440</v>
      </c>
      <c r="F103" s="3" t="s">
        <v>441</v>
      </c>
      <c r="G103" s="2" t="s">
        <v>13</v>
      </c>
    </row>
    <row r="104" customFormat="false" ht="15" hidden="false" customHeight="false" outlineLevel="0" collapsed="false">
      <c r="A104" s="2" t="s">
        <v>442</v>
      </c>
      <c r="B104" s="2" t="s">
        <v>437</v>
      </c>
      <c r="C104" s="3" t="s">
        <v>438</v>
      </c>
      <c r="D104" s="3" t="s">
        <v>443</v>
      </c>
      <c r="E104" s="3" t="s">
        <v>444</v>
      </c>
      <c r="F104" s="3" t="s">
        <v>445</v>
      </c>
      <c r="G104" s="2" t="s">
        <v>13</v>
      </c>
    </row>
    <row r="105" customFormat="false" ht="15" hidden="false" customHeight="false" outlineLevel="0" collapsed="false">
      <c r="A105" s="2" t="s">
        <v>446</v>
      </c>
      <c r="B105" s="2" t="s">
        <v>437</v>
      </c>
      <c r="C105" s="3" t="s">
        <v>438</v>
      </c>
      <c r="D105" s="3" t="s">
        <v>447</v>
      </c>
      <c r="E105" s="3" t="s">
        <v>448</v>
      </c>
      <c r="F105" s="3" t="s">
        <v>449</v>
      </c>
      <c r="G105" s="2" t="s">
        <v>13</v>
      </c>
    </row>
    <row r="106" customFormat="false" ht="15" hidden="false" customHeight="false" outlineLevel="0" collapsed="false">
      <c r="A106" s="2" t="s">
        <v>450</v>
      </c>
      <c r="B106" s="2" t="s">
        <v>437</v>
      </c>
      <c r="C106" s="3" t="s">
        <v>438</v>
      </c>
      <c r="D106" s="3" t="s">
        <v>451</v>
      </c>
      <c r="E106" s="3" t="s">
        <v>452</v>
      </c>
      <c r="F106" s="3" t="s">
        <v>453</v>
      </c>
      <c r="G106" s="2" t="s">
        <v>13</v>
      </c>
    </row>
    <row r="107" customFormat="false" ht="23.85" hidden="false" customHeight="false" outlineLevel="0" collapsed="false">
      <c r="A107" s="2" t="s">
        <v>454</v>
      </c>
      <c r="B107" s="2" t="s">
        <v>455</v>
      </c>
      <c r="C107" s="3" t="s">
        <v>438</v>
      </c>
      <c r="D107" s="3" t="s">
        <v>456</v>
      </c>
      <c r="E107" s="3" t="s">
        <v>457</v>
      </c>
      <c r="F107" s="3" t="s">
        <v>458</v>
      </c>
      <c r="G107" s="2" t="s">
        <v>13</v>
      </c>
    </row>
    <row r="108" customFormat="false" ht="23.85" hidden="false" customHeight="false" outlineLevel="0" collapsed="false">
      <c r="A108" s="2" t="s">
        <v>459</v>
      </c>
      <c r="B108" s="2" t="s">
        <v>460</v>
      </c>
      <c r="C108" s="3" t="s">
        <v>461</v>
      </c>
      <c r="D108" s="3" t="s">
        <v>462</v>
      </c>
      <c r="E108" s="3" t="s">
        <v>463</v>
      </c>
      <c r="F108" s="3" t="s">
        <v>464</v>
      </c>
      <c r="G108" s="2" t="s">
        <v>13</v>
      </c>
    </row>
    <row r="109" customFormat="false" ht="15" hidden="false" customHeight="false" outlineLevel="0" collapsed="false">
      <c r="A109" s="2" t="s">
        <v>465</v>
      </c>
      <c r="B109" s="2" t="s">
        <v>460</v>
      </c>
      <c r="C109" s="3" t="s">
        <v>461</v>
      </c>
      <c r="D109" s="3" t="s">
        <v>466</v>
      </c>
      <c r="E109" s="3" t="s">
        <v>467</v>
      </c>
      <c r="F109" s="3" t="s">
        <v>468</v>
      </c>
      <c r="G109" s="2" t="s">
        <v>13</v>
      </c>
    </row>
    <row r="110" customFormat="false" ht="23.85" hidden="false" customHeight="false" outlineLevel="0" collapsed="false">
      <c r="A110" s="2" t="s">
        <v>469</v>
      </c>
      <c r="B110" s="2" t="s">
        <v>460</v>
      </c>
      <c r="C110" s="3" t="s">
        <v>461</v>
      </c>
      <c r="D110" s="3" t="s">
        <v>470</v>
      </c>
      <c r="E110" s="3" t="s">
        <v>471</v>
      </c>
      <c r="F110" s="3" t="s">
        <v>472</v>
      </c>
      <c r="G110" s="2" t="s">
        <v>13</v>
      </c>
    </row>
    <row r="111" customFormat="false" ht="23.85" hidden="false" customHeight="false" outlineLevel="0" collapsed="false">
      <c r="A111" s="2" t="s">
        <v>473</v>
      </c>
      <c r="B111" s="2" t="s">
        <v>460</v>
      </c>
      <c r="C111" s="3" t="s">
        <v>461</v>
      </c>
      <c r="D111" s="3" t="s">
        <v>474</v>
      </c>
      <c r="E111" s="3" t="s">
        <v>475</v>
      </c>
      <c r="F111" s="3" t="s">
        <v>476</v>
      </c>
      <c r="G111" s="2" t="s">
        <v>13</v>
      </c>
    </row>
    <row r="112" customFormat="false" ht="23.85" hidden="false" customHeight="false" outlineLevel="0" collapsed="false">
      <c r="A112" s="2" t="s">
        <v>477</v>
      </c>
      <c r="B112" s="2" t="s">
        <v>460</v>
      </c>
      <c r="C112" s="3" t="s">
        <v>461</v>
      </c>
      <c r="D112" s="3" t="s">
        <v>478</v>
      </c>
      <c r="E112" s="3" t="s">
        <v>479</v>
      </c>
      <c r="F112" s="3" t="s">
        <v>480</v>
      </c>
      <c r="G112" s="2" t="s">
        <v>32</v>
      </c>
    </row>
    <row r="113" customFormat="false" ht="15" hidden="false" customHeight="false" outlineLevel="0" collapsed="false">
      <c r="A113" s="2" t="s">
        <v>481</v>
      </c>
      <c r="B113" s="2" t="s">
        <v>482</v>
      </c>
      <c r="C113" s="3" t="s">
        <v>461</v>
      </c>
      <c r="D113" s="3" t="s">
        <v>483</v>
      </c>
      <c r="E113" s="3" t="s">
        <v>484</v>
      </c>
      <c r="F113" s="3" t="s">
        <v>485</v>
      </c>
      <c r="G113" s="2" t="s">
        <v>13</v>
      </c>
    </row>
    <row r="114" customFormat="false" ht="15" hidden="false" customHeight="false" outlineLevel="0" collapsed="false">
      <c r="A114" s="2" t="s">
        <v>486</v>
      </c>
      <c r="B114" s="2" t="s">
        <v>482</v>
      </c>
      <c r="C114" s="3" t="s">
        <v>461</v>
      </c>
      <c r="D114" s="3" t="s">
        <v>487</v>
      </c>
      <c r="E114" s="3" t="s">
        <v>488</v>
      </c>
      <c r="F114" s="3" t="s">
        <v>489</v>
      </c>
      <c r="G114" s="2" t="s">
        <v>13</v>
      </c>
    </row>
    <row r="115" customFormat="false" ht="15" hidden="false" customHeight="false" outlineLevel="0" collapsed="false">
      <c r="A115" s="2" t="s">
        <v>490</v>
      </c>
      <c r="B115" s="2" t="s">
        <v>491</v>
      </c>
      <c r="C115" s="3" t="s">
        <v>461</v>
      </c>
      <c r="D115" s="3" t="s">
        <v>492</v>
      </c>
      <c r="E115" s="3" t="s">
        <v>493</v>
      </c>
      <c r="F115" s="3" t="s">
        <v>494</v>
      </c>
      <c r="G115" s="2" t="s">
        <v>13</v>
      </c>
    </row>
    <row r="116" customFormat="false" ht="15" hidden="false" customHeight="false" outlineLevel="0" collapsed="false">
      <c r="A116" s="2" t="s">
        <v>495</v>
      </c>
      <c r="B116" s="2" t="s">
        <v>491</v>
      </c>
      <c r="C116" s="3" t="s">
        <v>461</v>
      </c>
      <c r="D116" s="3" t="s">
        <v>496</v>
      </c>
      <c r="E116" s="3" t="s">
        <v>497</v>
      </c>
      <c r="F116" s="3" t="s">
        <v>498</v>
      </c>
      <c r="G116" s="2" t="s">
        <v>13</v>
      </c>
    </row>
    <row r="117" customFormat="false" ht="23.85" hidden="false" customHeight="false" outlineLevel="0" collapsed="false">
      <c r="A117" s="2" t="s">
        <v>499</v>
      </c>
      <c r="B117" s="2" t="s">
        <v>491</v>
      </c>
      <c r="C117" s="3" t="s">
        <v>461</v>
      </c>
      <c r="D117" s="3" t="s">
        <v>500</v>
      </c>
      <c r="E117" s="3" t="s">
        <v>501</v>
      </c>
      <c r="F117" s="3" t="s">
        <v>502</v>
      </c>
      <c r="G117" s="2" t="s">
        <v>13</v>
      </c>
    </row>
    <row r="118" customFormat="false" ht="15" hidden="false" customHeight="false" outlineLevel="0" collapsed="false">
      <c r="A118" s="2" t="s">
        <v>503</v>
      </c>
      <c r="B118" s="2" t="s">
        <v>491</v>
      </c>
      <c r="C118" s="3" t="s">
        <v>461</v>
      </c>
      <c r="D118" s="3" t="s">
        <v>504</v>
      </c>
      <c r="E118" s="3" t="s">
        <v>505</v>
      </c>
      <c r="F118" s="3" t="s">
        <v>506</v>
      </c>
      <c r="G118" s="2" t="s">
        <v>13</v>
      </c>
    </row>
    <row r="119" customFormat="false" ht="23.85" hidden="false" customHeight="false" outlineLevel="0" collapsed="false">
      <c r="A119" s="2" t="s">
        <v>507</v>
      </c>
      <c r="B119" s="2" t="s">
        <v>508</v>
      </c>
      <c r="C119" s="3" t="s">
        <v>461</v>
      </c>
      <c r="D119" s="3" t="s">
        <v>509</v>
      </c>
      <c r="E119" s="3" t="s">
        <v>510</v>
      </c>
      <c r="F119" s="3" t="s">
        <v>511</v>
      </c>
      <c r="G119" s="2" t="s">
        <v>13</v>
      </c>
    </row>
    <row r="120" customFormat="false" ht="15" hidden="false" customHeight="false" outlineLevel="0" collapsed="false">
      <c r="A120" s="2" t="s">
        <v>512</v>
      </c>
      <c r="B120" s="2" t="s">
        <v>508</v>
      </c>
      <c r="C120" s="3" t="s">
        <v>461</v>
      </c>
      <c r="D120" s="3" t="s">
        <v>513</v>
      </c>
      <c r="E120" s="3" t="s">
        <v>514</v>
      </c>
      <c r="F120" s="3" t="s">
        <v>515</v>
      </c>
      <c r="G120" s="2" t="s">
        <v>13</v>
      </c>
    </row>
    <row r="121" customFormat="false" ht="15" hidden="false" customHeight="false" outlineLevel="0" collapsed="false">
      <c r="A121" s="2" t="s">
        <v>516</v>
      </c>
      <c r="B121" s="2" t="s">
        <v>508</v>
      </c>
      <c r="C121" s="3" t="s">
        <v>461</v>
      </c>
      <c r="D121" s="3" t="s">
        <v>517</v>
      </c>
      <c r="E121" s="3" t="s">
        <v>518</v>
      </c>
      <c r="F121" s="3" t="s">
        <v>519</v>
      </c>
      <c r="G121" s="2" t="s">
        <v>13</v>
      </c>
    </row>
    <row r="122" customFormat="false" ht="23.85" hidden="false" customHeight="false" outlineLevel="0" collapsed="false">
      <c r="A122" s="2" t="s">
        <v>520</v>
      </c>
      <c r="B122" s="2" t="s">
        <v>508</v>
      </c>
      <c r="C122" s="3" t="s">
        <v>461</v>
      </c>
      <c r="D122" s="3" t="s">
        <v>521</v>
      </c>
      <c r="E122" s="3" t="s">
        <v>522</v>
      </c>
      <c r="F122" s="3" t="s">
        <v>523</v>
      </c>
      <c r="G122" s="2" t="s">
        <v>13</v>
      </c>
    </row>
    <row r="123" customFormat="false" ht="23.85" hidden="false" customHeight="false" outlineLevel="0" collapsed="false">
      <c r="A123" s="2" t="s">
        <v>524</v>
      </c>
      <c r="B123" s="2" t="s">
        <v>525</v>
      </c>
      <c r="C123" s="3" t="s">
        <v>526</v>
      </c>
      <c r="D123" s="3" t="s">
        <v>527</v>
      </c>
      <c r="E123" s="3" t="s">
        <v>528</v>
      </c>
      <c r="F123" s="3" t="s">
        <v>529</v>
      </c>
      <c r="G123" s="2" t="s">
        <v>32</v>
      </c>
    </row>
    <row r="124" customFormat="false" ht="23.85" hidden="false" customHeight="false" outlineLevel="0" collapsed="false">
      <c r="A124" s="2" t="s">
        <v>530</v>
      </c>
      <c r="B124" s="2" t="s">
        <v>531</v>
      </c>
      <c r="C124" s="3" t="s">
        <v>532</v>
      </c>
      <c r="D124" s="3" t="s">
        <v>533</v>
      </c>
      <c r="E124" s="3" t="s">
        <v>534</v>
      </c>
      <c r="F124" s="3" t="s">
        <v>535</v>
      </c>
      <c r="G124" s="2" t="s">
        <v>32</v>
      </c>
    </row>
    <row r="125" customFormat="false" ht="15" hidden="false" customHeight="false" outlineLevel="0" collapsed="false">
      <c r="A125" s="2" t="s">
        <v>536</v>
      </c>
      <c r="B125" s="2" t="s">
        <v>525</v>
      </c>
      <c r="C125" s="3" t="s">
        <v>526</v>
      </c>
      <c r="D125" s="3" t="s">
        <v>537</v>
      </c>
      <c r="E125" s="3" t="s">
        <v>538</v>
      </c>
      <c r="F125" s="3" t="s">
        <v>539</v>
      </c>
      <c r="G125" s="2" t="s">
        <v>32</v>
      </c>
    </row>
    <row r="126" customFormat="false" ht="23.85" hidden="false" customHeight="false" outlineLevel="0" collapsed="false">
      <c r="A126" s="2" t="s">
        <v>540</v>
      </c>
      <c r="B126" s="2" t="s">
        <v>370</v>
      </c>
      <c r="C126" s="3" t="s">
        <v>541</v>
      </c>
      <c r="D126" s="3" t="s">
        <v>542</v>
      </c>
      <c r="E126" s="3" t="s">
        <v>543</v>
      </c>
      <c r="F126" s="3" t="s">
        <v>544</v>
      </c>
      <c r="G126" s="2" t="s">
        <v>32</v>
      </c>
    </row>
    <row r="127" customFormat="false" ht="23.85" hidden="false" customHeight="false" outlineLevel="0" collapsed="false">
      <c r="A127" s="2" t="s">
        <v>545</v>
      </c>
      <c r="B127" s="2" t="s">
        <v>546</v>
      </c>
      <c r="C127" s="3" t="s">
        <v>547</v>
      </c>
      <c r="D127" s="3" t="s">
        <v>548</v>
      </c>
      <c r="E127" s="3" t="s">
        <v>549</v>
      </c>
      <c r="F127" s="3" t="s">
        <v>550</v>
      </c>
      <c r="G127" s="2" t="s">
        <v>32</v>
      </c>
    </row>
    <row r="128" customFormat="false" ht="15" hidden="false" customHeight="false" outlineLevel="0" collapsed="false">
      <c r="A128" s="2" t="s">
        <v>551</v>
      </c>
      <c r="B128" s="2" t="s">
        <v>552</v>
      </c>
      <c r="C128" s="3" t="s">
        <v>553</v>
      </c>
      <c r="D128" s="3" t="s">
        <v>554</v>
      </c>
      <c r="E128" s="3" t="s">
        <v>555</v>
      </c>
      <c r="F128" s="3" t="s">
        <v>556</v>
      </c>
      <c r="G128" s="2" t="s">
        <v>32</v>
      </c>
    </row>
    <row r="129" customFormat="false" ht="15" hidden="false" customHeight="false" outlineLevel="0" collapsed="false">
      <c r="A129" s="2" t="s">
        <v>557</v>
      </c>
      <c r="B129" s="2" t="s">
        <v>558</v>
      </c>
      <c r="C129" s="3" t="s">
        <v>559</v>
      </c>
      <c r="D129" s="3" t="s">
        <v>560</v>
      </c>
      <c r="E129" s="3" t="s">
        <v>561</v>
      </c>
      <c r="F129" s="3" t="s">
        <v>562</v>
      </c>
      <c r="G129" s="2" t="s">
        <v>32</v>
      </c>
    </row>
    <row r="130" customFormat="false" ht="23.85" hidden="false" customHeight="false" outlineLevel="0" collapsed="false">
      <c r="A130" s="2" t="s">
        <v>563</v>
      </c>
      <c r="B130" s="2" t="s">
        <v>564</v>
      </c>
      <c r="C130" s="3" t="s">
        <v>565</v>
      </c>
      <c r="D130" s="3" t="s">
        <v>566</v>
      </c>
      <c r="E130" s="3" t="s">
        <v>567</v>
      </c>
      <c r="F130" s="3" t="s">
        <v>568</v>
      </c>
      <c r="G130" s="2" t="s">
        <v>13</v>
      </c>
    </row>
    <row r="131" customFormat="false" ht="23.85" hidden="false" customHeight="false" outlineLevel="0" collapsed="false">
      <c r="A131" s="2" t="s">
        <v>569</v>
      </c>
      <c r="B131" s="2" t="s">
        <v>564</v>
      </c>
      <c r="C131" s="3" t="s">
        <v>565</v>
      </c>
      <c r="D131" s="3" t="s">
        <v>570</v>
      </c>
      <c r="E131" s="3" t="s">
        <v>567</v>
      </c>
      <c r="F131" s="3" t="s">
        <v>571</v>
      </c>
      <c r="G131" s="2" t="s">
        <v>572</v>
      </c>
    </row>
    <row r="132" customFormat="false" ht="23.85" hidden="false" customHeight="false" outlineLevel="0" collapsed="false">
      <c r="A132" s="2" t="s">
        <v>573</v>
      </c>
      <c r="B132" s="2" t="s">
        <v>564</v>
      </c>
      <c r="C132" s="3" t="s">
        <v>565</v>
      </c>
      <c r="D132" s="3" t="s">
        <v>574</v>
      </c>
      <c r="E132" s="3" t="s">
        <v>567</v>
      </c>
      <c r="F132" s="3" t="s">
        <v>575</v>
      </c>
      <c r="G132" s="2" t="s">
        <v>572</v>
      </c>
    </row>
    <row r="133" customFormat="false" ht="23.85" hidden="false" customHeight="false" outlineLevel="0" collapsed="false">
      <c r="A133" s="2" t="s">
        <v>576</v>
      </c>
      <c r="B133" s="2" t="s">
        <v>564</v>
      </c>
      <c r="C133" s="3" t="s">
        <v>565</v>
      </c>
      <c r="D133" s="3" t="s">
        <v>577</v>
      </c>
      <c r="E133" s="3" t="s">
        <v>567</v>
      </c>
      <c r="F133" s="3" t="s">
        <v>578</v>
      </c>
      <c r="G133" s="2" t="s">
        <v>572</v>
      </c>
    </row>
    <row r="134" customFormat="false" ht="23.85" hidden="false" customHeight="false" outlineLevel="0" collapsed="false">
      <c r="A134" s="2" t="s">
        <v>579</v>
      </c>
      <c r="B134" s="2" t="s">
        <v>508</v>
      </c>
      <c r="C134" s="3" t="s">
        <v>461</v>
      </c>
      <c r="D134" s="3" t="s">
        <v>580</v>
      </c>
      <c r="E134" s="3" t="s">
        <v>581</v>
      </c>
      <c r="F134" s="3" t="s">
        <v>582</v>
      </c>
      <c r="G134" s="2" t="s">
        <v>572</v>
      </c>
    </row>
    <row r="135" customFormat="false" ht="23.85" hidden="false" customHeight="false" outlineLevel="0" collapsed="false">
      <c r="A135" s="2" t="s">
        <v>583</v>
      </c>
      <c r="B135" s="2" t="s">
        <v>460</v>
      </c>
      <c r="C135" s="3" t="s">
        <v>461</v>
      </c>
      <c r="D135" s="3" t="s">
        <v>584</v>
      </c>
      <c r="E135" s="3" t="s">
        <v>585</v>
      </c>
      <c r="F135" s="3" t="s">
        <v>586</v>
      </c>
      <c r="G135" s="2" t="s">
        <v>572</v>
      </c>
    </row>
  </sheetData>
  <autoFilter ref="A1:G135"/>
  <conditionalFormatting sqref="G2:G135">
    <cfRule type="cellIs" priority="2" operator="equal" aboveAverage="0" equalAverage="0" bottom="0" percent="0" rank="0" text="" dxfId="9">
      <formula>"Pass"</formula>
    </cfRule>
    <cfRule type="cellIs" priority="3" operator="equal" aboveAverage="0" equalAverage="0" bottom="0" percent="0" rank="0" text="" dxfId="10">
      <formula>"Fail"</formula>
    </cfRule>
    <cfRule type="cellIs" priority="4" operator="equal" aboveAverage="0" equalAverage="0" bottom="0" percent="0" rank="0" text="" dxfId="11">
      <formula>"Not Run"</formula>
    </cfRule>
  </conditionalFormatting>
  <dataValidations count="1">
    <dataValidation allowBlank="false" errorStyle="stop" operator="between" showDropDown="false" showErrorMessage="false" showInputMessage="false" sqref="G2:G135" type="list">
      <formula1>"Pass,Fail,Not Run"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6" min="3" style="0" width="18"/>
  </cols>
  <sheetData>
    <row r="1" customFormat="false" ht="17.35" hidden="false" customHeight="false" outlineLevel="0" collapsed="false">
      <c r="A1" s="4" t="s">
        <v>587</v>
      </c>
    </row>
    <row r="3" customFormat="false" ht="15" hidden="false" customHeight="false" outlineLevel="0" collapsed="false">
      <c r="A3" s="5" t="s">
        <v>588</v>
      </c>
      <c r="B3" s="6" t="n">
        <f aca="false">COUNTA('Test Cases'!A2:A135)</f>
        <v>134</v>
      </c>
    </row>
    <row r="4" customFormat="false" ht="15" hidden="false" customHeight="false" outlineLevel="0" collapsed="false">
      <c r="A4" s="5" t="s">
        <v>589</v>
      </c>
      <c r="B4" s="6" t="n">
        <f aca="false">COUNTIF('Test Cases'!G2:G135,"Pass")</f>
        <v>116</v>
      </c>
    </row>
    <row r="5" customFormat="false" ht="15" hidden="false" customHeight="false" outlineLevel="0" collapsed="false">
      <c r="A5" s="5" t="s">
        <v>590</v>
      </c>
      <c r="B5" s="6" t="n">
        <f aca="false">COUNTIF('Test Cases'!G2:G135,"Fail")</f>
        <v>13</v>
      </c>
    </row>
    <row r="6" customFormat="false" ht="15" hidden="false" customHeight="false" outlineLevel="0" collapsed="false">
      <c r="A6" s="5" t="s">
        <v>591</v>
      </c>
      <c r="B6" s="6" t="n">
        <f aca="false">COUNTIF('Test Cases'!G2:G135,"Not Run")</f>
        <v>5</v>
      </c>
    </row>
    <row r="7" customFormat="false" ht="15" hidden="false" customHeight="false" outlineLevel="0" collapsed="false">
      <c r="A7" s="5" t="s">
        <v>592</v>
      </c>
      <c r="B7" s="7" t="n">
        <f aca="false">IF(B4+B5=0,0,B4/(B4+B5))</f>
        <v>0.89922480620155</v>
      </c>
    </row>
    <row r="9" customFormat="false" ht="15" hidden="false" customHeight="false" outlineLevel="0" collapsed="false">
      <c r="A9" s="8" t="s">
        <v>593</v>
      </c>
    </row>
    <row r="10" customFormat="false" ht="43.5" hidden="false" customHeight="true" outlineLevel="0" collapsed="false">
      <c r="A10" s="9" t="s">
        <v>594</v>
      </c>
      <c r="B10" s="9"/>
      <c r="C10" s="9"/>
      <c r="D10" s="9"/>
      <c r="E10" s="9"/>
      <c r="F10" s="9"/>
    </row>
    <row r="11" customFormat="false" ht="43.5" hidden="false" customHeight="true" outlineLevel="0" collapsed="false">
      <c r="A11" s="9" t="s">
        <v>595</v>
      </c>
      <c r="B11" s="9"/>
      <c r="C11" s="9"/>
      <c r="D11" s="9"/>
      <c r="E11" s="9"/>
      <c r="F11" s="9"/>
    </row>
    <row r="12" customFormat="false" ht="43.5" hidden="false" customHeight="true" outlineLevel="0" collapsed="false">
      <c r="A12" s="9" t="s">
        <v>596</v>
      </c>
      <c r="B12" s="9"/>
      <c r="C12" s="9"/>
      <c r="D12" s="9"/>
      <c r="E12" s="9"/>
      <c r="F12" s="9"/>
    </row>
    <row r="13" customFormat="false" ht="43.5" hidden="false" customHeight="true" outlineLevel="0" collapsed="false">
      <c r="A13" s="9" t="s">
        <v>597</v>
      </c>
      <c r="B13" s="9"/>
      <c r="C13" s="9"/>
      <c r="D13" s="9"/>
      <c r="E13" s="9"/>
      <c r="F13" s="9"/>
    </row>
    <row r="14" customFormat="false" ht="43.5" hidden="false" customHeight="true" outlineLevel="0" collapsed="false">
      <c r="A14" s="9" t="s">
        <v>598</v>
      </c>
      <c r="B14" s="9"/>
      <c r="C14" s="9"/>
      <c r="D14" s="9"/>
      <c r="E14" s="9"/>
      <c r="F14" s="9"/>
    </row>
  </sheetData>
  <mergeCells count="5">
    <mergeCell ref="A10:F10"/>
    <mergeCell ref="A11:F11"/>
    <mergeCell ref="A12:F12"/>
    <mergeCell ref="A13:F13"/>
    <mergeCell ref="A14:F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52"/>
    <col collapsed="false" customWidth="true" hidden="false" outlineLevel="0" max="4" min="4" style="0" width="70"/>
  </cols>
  <sheetData>
    <row r="1" customFormat="false" ht="15" hidden="false" customHeight="false" outlineLevel="0" collapsed="false">
      <c r="A1" s="10" t="s">
        <v>0</v>
      </c>
      <c r="B1" s="10" t="s">
        <v>1</v>
      </c>
      <c r="C1" s="10" t="s">
        <v>3</v>
      </c>
      <c r="D1" s="10" t="s">
        <v>599</v>
      </c>
    </row>
    <row r="2" customFormat="false" ht="15" hidden="false" customHeight="false" outlineLevel="0" collapsed="false">
      <c r="A2" s="11" t="s">
        <v>27</v>
      </c>
      <c r="B2" s="11" t="s">
        <v>28</v>
      </c>
      <c r="C2" s="11" t="s">
        <v>29</v>
      </c>
      <c r="D2" s="11" t="s">
        <v>31</v>
      </c>
    </row>
    <row r="3" customFormat="false" ht="15" hidden="false" customHeight="false" outlineLevel="0" collapsed="false">
      <c r="A3" s="11" t="s">
        <v>89</v>
      </c>
      <c r="B3" s="11" t="s">
        <v>51</v>
      </c>
      <c r="C3" s="11" t="s">
        <v>90</v>
      </c>
      <c r="D3" s="11" t="s">
        <v>92</v>
      </c>
    </row>
    <row r="4" customFormat="false" ht="15" hidden="false" customHeight="false" outlineLevel="0" collapsed="false">
      <c r="A4" s="11" t="s">
        <v>153</v>
      </c>
      <c r="B4" s="11" t="s">
        <v>144</v>
      </c>
      <c r="C4" s="11" t="s">
        <v>154</v>
      </c>
      <c r="D4" s="11" t="s">
        <v>156</v>
      </c>
    </row>
    <row r="5" customFormat="false" ht="15" hidden="false" customHeight="false" outlineLevel="0" collapsed="false">
      <c r="A5" s="11" t="s">
        <v>190</v>
      </c>
      <c r="B5" s="11" t="s">
        <v>191</v>
      </c>
      <c r="C5" s="11" t="s">
        <v>192</v>
      </c>
      <c r="D5" s="11" t="s">
        <v>194</v>
      </c>
    </row>
    <row r="6" customFormat="false" ht="15" hidden="false" customHeight="false" outlineLevel="0" collapsed="false">
      <c r="A6" s="11" t="s">
        <v>195</v>
      </c>
      <c r="B6" s="11" t="s">
        <v>196</v>
      </c>
      <c r="C6" s="11" t="s">
        <v>197</v>
      </c>
      <c r="D6" s="11" t="s">
        <v>199</v>
      </c>
    </row>
    <row r="7" customFormat="false" ht="23.85" hidden="false" customHeight="false" outlineLevel="0" collapsed="false">
      <c r="A7" s="11" t="s">
        <v>477</v>
      </c>
      <c r="B7" s="11" t="s">
        <v>460</v>
      </c>
      <c r="C7" s="11" t="s">
        <v>478</v>
      </c>
      <c r="D7" s="11" t="s">
        <v>480</v>
      </c>
    </row>
    <row r="8" customFormat="false" ht="15" hidden="false" customHeight="false" outlineLevel="0" collapsed="false">
      <c r="A8" s="11" t="s">
        <v>524</v>
      </c>
      <c r="B8" s="11" t="s">
        <v>525</v>
      </c>
      <c r="C8" s="11" t="s">
        <v>527</v>
      </c>
      <c r="D8" s="11" t="s">
        <v>529</v>
      </c>
    </row>
    <row r="9" customFormat="false" ht="15" hidden="false" customHeight="false" outlineLevel="0" collapsed="false">
      <c r="A9" s="11" t="s">
        <v>530</v>
      </c>
      <c r="B9" s="11" t="s">
        <v>531</v>
      </c>
      <c r="C9" s="11" t="s">
        <v>533</v>
      </c>
      <c r="D9" s="11" t="s">
        <v>535</v>
      </c>
    </row>
    <row r="10" customFormat="false" ht="15" hidden="false" customHeight="false" outlineLevel="0" collapsed="false">
      <c r="A10" s="11" t="s">
        <v>536</v>
      </c>
      <c r="B10" s="11" t="s">
        <v>525</v>
      </c>
      <c r="C10" s="11" t="s">
        <v>537</v>
      </c>
      <c r="D10" s="11" t="s">
        <v>539</v>
      </c>
    </row>
    <row r="11" customFormat="false" ht="15" hidden="false" customHeight="false" outlineLevel="0" collapsed="false">
      <c r="A11" s="11" t="s">
        <v>540</v>
      </c>
      <c r="B11" s="11" t="s">
        <v>370</v>
      </c>
      <c r="C11" s="11" t="s">
        <v>542</v>
      </c>
      <c r="D11" s="11" t="s">
        <v>544</v>
      </c>
    </row>
    <row r="12" customFormat="false" ht="15" hidden="false" customHeight="false" outlineLevel="0" collapsed="false">
      <c r="A12" s="11" t="s">
        <v>545</v>
      </c>
      <c r="B12" s="11" t="s">
        <v>546</v>
      </c>
      <c r="C12" s="11" t="s">
        <v>548</v>
      </c>
      <c r="D12" s="11" t="s">
        <v>550</v>
      </c>
    </row>
    <row r="13" customFormat="false" ht="15" hidden="false" customHeight="false" outlineLevel="0" collapsed="false">
      <c r="A13" s="11" t="s">
        <v>551</v>
      </c>
      <c r="B13" s="11" t="s">
        <v>552</v>
      </c>
      <c r="C13" s="11" t="s">
        <v>554</v>
      </c>
      <c r="D13" s="11" t="s">
        <v>556</v>
      </c>
    </row>
    <row r="14" customFormat="false" ht="15" hidden="false" customHeight="false" outlineLevel="0" collapsed="false">
      <c r="A14" s="11" t="s">
        <v>557</v>
      </c>
      <c r="B14" s="11" t="s">
        <v>558</v>
      </c>
      <c r="C14" s="11" t="s">
        <v>560</v>
      </c>
      <c r="D14" s="11" t="s">
        <v>562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2026-10-12T06:45:54Z</dcterms:created>
  <dc:creator>openpyxl</dc:creator>
  <dc:description/>
  <dc:language>en-US</dc:language>
  <cp:lastModifiedBy/>
  <dcterms:modified xsi:type="dcterms:W3CDTF">2026-10-12T06:45:54Z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